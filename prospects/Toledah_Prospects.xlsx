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sheetId="1" state="visible" r:id="rId1"/>
    <sheet xmlns:r="http://schemas.openxmlformats.org/officeDocument/2006/relationships" name="Pipeline Summary" sheetId="2" state="visible" r:id="rId2"/>
    <sheet xmlns:r="http://schemas.openxmlformats.org/officeDocument/2006/relationships" name="How to Use" sheetId="3" state="visible" r:id="rId3"/>
  </sheets>
  <definedNames>
    <definedName name="_xlnm._FilterDatabase" localSheetId="0" hidden="1">'Prospects'!$A$1:$U$13</definedName>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4">
    <font>
      <name val="Calibri"/>
      <family val="2"/>
      <color theme="1"/>
      <sz val="11"/>
      <scheme val="minor"/>
    </font>
    <font>
      <b val="1"/>
      <color rgb="00FFFFFF"/>
    </font>
    <font>
      <b val="1"/>
      <sz val="16"/>
    </font>
    <font>
      <b val="1"/>
    </font>
  </fonts>
  <fills count="3">
    <fill>
      <patternFill/>
    </fill>
    <fill>
      <patternFill patternType="gray125"/>
    </fill>
    <fill>
      <patternFill patternType="solid">
        <fgColor rgb="001E1E1E"/>
      </patternFill>
    </fill>
  </fills>
  <borders count="2">
    <border>
      <left/>
      <right/>
      <top/>
      <bottom/>
      <diagonal/>
    </border>
    <border>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164" fontId="0" fillId="0" borderId="1" applyAlignment="1" pivotButton="0" quotePrefix="0" xfId="0">
      <alignment vertical="top" wrapText="1"/>
    </xf>
    <xf numFmtId="0" fontId="2" fillId="0" borderId="0" pivotButton="0" quotePrefix="0" xfId="0"/>
    <xf numFmtId="0" fontId="1" fillId="2"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1"/>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22" customWidth="1" min="3" max="3"/>
    <col width="30" customWidth="1" min="4" max="4"/>
    <col width="18" customWidth="1" min="5" max="5"/>
    <col width="38" customWidth="1" min="6" max="6"/>
    <col width="38" customWidth="1" min="7" max="7"/>
    <col width="30" customWidth="1" min="8" max="8"/>
    <col width="24" customWidth="1" min="9" max="9"/>
    <col width="24" customWidth="1" min="10" max="10"/>
    <col width="42" customWidth="1" min="11" max="11"/>
    <col width="42" customWidth="1" min="12" max="12"/>
    <col width="18" customWidth="1" min="13" max="13"/>
    <col width="18" customWidth="1" min="14" max="14"/>
    <col width="12" customWidth="1" min="15" max="15"/>
    <col width="14" customWidth="1" min="16" max="16"/>
    <col width="16" customWidth="1" min="17" max="17"/>
    <col width="16" customWidth="1" min="18" max="18"/>
    <col width="34" customWidth="1" min="19" max="19"/>
    <col width="34" customWidth="1" min="20" max="20"/>
    <col width="50" customWidth="1" min="21" max="21"/>
    <col width="22" customWidth="1" min="22" max="22"/>
  </cols>
  <sheetData>
    <row r="1">
      <c r="A1" s="1" t="inlineStr">
        <is>
          <t>Prospect</t>
        </is>
      </c>
      <c r="B1" s="1" t="inlineStr">
        <is>
          <t>Organization</t>
        </is>
      </c>
      <c r="C1" s="1" t="inlineStr">
        <is>
          <t>Prospect Type</t>
        </is>
      </c>
      <c r="D1" s="1" t="inlineStr">
        <is>
          <t>Industry / Client Base</t>
        </is>
      </c>
      <c r="E1" s="1" t="inlineStr">
        <is>
          <t>Location</t>
        </is>
      </c>
      <c r="F1" s="1" t="inlineStr">
        <is>
          <t>LinkedIn</t>
        </is>
      </c>
      <c r="G1" s="1" t="inlineStr">
        <is>
          <t>Website</t>
        </is>
      </c>
      <c r="H1" s="1" t="inlineStr">
        <is>
          <t>Email</t>
        </is>
      </c>
      <c r="I1" s="1" t="inlineStr">
        <is>
          <t>WhatsApp</t>
        </is>
      </c>
      <c r="J1" s="1" t="inlineStr">
        <is>
          <t>Other Contact</t>
        </is>
      </c>
      <c r="K1" s="1" t="inlineStr">
        <is>
          <t>Why They Fit</t>
        </is>
      </c>
      <c r="L1" s="1" t="inlineStr">
        <is>
          <t>Potential Referral Opportunity</t>
        </is>
      </c>
      <c r="M1" s="1" t="inlineStr">
        <is>
          <t>Best Channel</t>
        </is>
      </c>
      <c r="N1" s="1" t="inlineStr">
        <is>
          <t>Status</t>
        </is>
      </c>
      <c r="O1" s="1" t="inlineStr">
        <is>
          <t>Priority</t>
        </is>
      </c>
      <c r="P1" s="1" t="inlineStr">
        <is>
          <t>Date Added</t>
        </is>
      </c>
      <c r="Q1" s="1" t="inlineStr">
        <is>
          <t>Last Contacted</t>
        </is>
      </c>
      <c r="R1" s="1" t="inlineStr">
        <is>
          <t>Next Follow-Up</t>
        </is>
      </c>
      <c r="S1" s="1" t="inlineStr">
        <is>
          <t>Response</t>
        </is>
      </c>
      <c r="T1" s="1" t="inlineStr">
        <is>
          <t>Next Action</t>
        </is>
      </c>
      <c r="U1" s="1" t="inlineStr">
        <is>
          <t>Notes</t>
        </is>
      </c>
      <c r="V1" t="inlineStr">
        <is>
          <t>Partner Fit</t>
        </is>
      </c>
    </row>
    <row r="2">
      <c r="A2" s="2" t="inlineStr">
        <is>
          <t>Tijesunimi Oshunnubi, ACA</t>
        </is>
      </c>
      <c r="B2" s="2" t="inlineStr">
        <is>
          <t>KPMG Nigeria</t>
        </is>
      </c>
      <c r="C2" s="2" t="inlineStr">
        <is>
          <t>Accountant</t>
        </is>
      </c>
      <c r="D2" s="2" t="inlineStr">
        <is>
          <t>Finance, auditing, accounting, financial advisory</t>
        </is>
      </c>
      <c r="E2" s="2" t="inlineStr">
        <is>
          <t>Lagos State, Nigeria</t>
        </is>
      </c>
      <c r="F2" s="2" t="inlineStr"/>
      <c r="G2" s="2" t="inlineStr"/>
      <c r="H2" s="2" t="inlineStr"/>
      <c r="I2" s="2" t="inlineStr"/>
      <c r="J2" s="2" t="inlineStr"/>
      <c r="K2" s="2" t="inlineStr">
        <is>
          <t>ACA with 4+ years at KPMG Nigeria; profile lists Financial Advisory, Strategic Planning and Financial Consulting. Likely close to businesses facing financial and strategic decision problems.</t>
        </is>
      </c>
      <c r="L2" s="2" t="inlineStr">
        <is>
          <t>Businesses needing quantitative analysis for production, inventory, capacity, resource allocation, pricing or other difficult operational decisions.</t>
        </is>
      </c>
      <c r="M2" s="2" t="inlineStr">
        <is>
          <t>LinkedIn</t>
        </is>
      </c>
      <c r="N2" s="2" t="inlineStr">
        <is>
          <t>Research</t>
        </is>
      </c>
      <c r="O2" s="2" t="inlineStr">
        <is>
          <t>High</t>
        </is>
      </c>
      <c r="P2" s="3" t="n">
        <v>46274</v>
      </c>
      <c r="Q2" s="2" t="inlineStr"/>
      <c r="R2" s="2" t="inlineStr"/>
      <c r="S2" s="2" t="inlineStr"/>
      <c r="T2" s="2" t="inlineStr"/>
      <c r="U2" s="2" t="inlineStr">
        <is>
          <t>Currently employed at KPMG. Treat as an individual professional/network relationship, not as a KPMG representative. Check employment/conflict-of-interest considerations before discussing referral compensation.</t>
        </is>
      </c>
      <c r="V2" s="2" t="inlineStr">
        <is>
          <t>Both</t>
        </is>
      </c>
    </row>
    <row r="3">
      <c r="A3" s="2" t="inlineStr">
        <is>
          <t>Rakiat Jimoh</t>
        </is>
      </c>
      <c r="B3" s="2" t="inlineStr">
        <is>
          <t>Coronation Securities</t>
        </is>
      </c>
      <c r="C3" s="2" t="inlineStr">
        <is>
          <t>Accountant</t>
        </is>
      </c>
      <c r="D3" s="2" t="inlineStr">
        <is>
          <t>Accounting, internal audit, data</t>
        </is>
      </c>
      <c r="E3" s="2" t="inlineStr">
        <is>
          <t>Lagos State, Nigeria</t>
        </is>
      </c>
      <c r="F3" s="2" t="inlineStr"/>
      <c r="G3" s="2" t="inlineStr"/>
      <c r="H3" s="2" t="inlineStr"/>
      <c r="I3" s="2" t="inlineStr"/>
      <c r="J3" s="2" t="inlineStr"/>
      <c r="K3" s="2" t="inlineStr">
        <is>
          <t>Accounting graduate and ICAN-qualified professional with internal audit and data interests. Strong professional network and shared University of Benin background, but no clear independent client/advisory practice shown.</t>
        </is>
      </c>
      <c r="L3" s="2" t="inlineStr">
        <is>
          <t>Potential future introductions to businesses or finance professionals; stronger as a network relationship than an immediate referral partner.</t>
        </is>
      </c>
      <c r="M3" s="2" t="inlineStr">
        <is>
          <t>LinkedIn</t>
        </is>
      </c>
      <c r="N3" s="2" t="inlineStr">
        <is>
          <t>Research</t>
        </is>
      </c>
      <c r="O3" s="2" t="inlineStr">
        <is>
          <t>Medium</t>
        </is>
      </c>
      <c r="P3" s="3" t="n">
        <v>46274</v>
      </c>
      <c r="Q3" s="2" t="inlineStr"/>
      <c r="R3" s="2" t="inlineStr"/>
      <c r="S3" s="2" t="inlineStr"/>
      <c r="T3" s="2" t="inlineStr"/>
      <c r="U3" s="2" t="inlineStr">
        <is>
          <t>Currently an Internal Audit Analyst at Coronation Securities. Shared University of Benin connection.</t>
        </is>
      </c>
      <c r="V3" s="2" t="inlineStr">
        <is>
          <t>Both</t>
        </is>
      </c>
    </row>
    <row r="4">
      <c r="A4" s="2" t="inlineStr">
        <is>
          <t>Oluwadara Osiyemi</t>
        </is>
      </c>
      <c r="B4" s="2" t="inlineStr"/>
      <c r="C4" s="2" t="inlineStr">
        <is>
          <t>CFO/Finance Consultant</t>
        </is>
      </c>
      <c r="D4" s="2" t="inlineStr">
        <is>
          <t>Financial planning, corporate finance, project funding, investment</t>
        </is>
      </c>
      <c r="E4" s="2" t="inlineStr">
        <is>
          <t>Lagos State, Nigeria</t>
        </is>
      </c>
      <c r="F4" s="2" t="inlineStr"/>
      <c r="G4" s="2" t="inlineStr"/>
      <c r="H4" s="2" t="inlineStr"/>
      <c r="I4" s="2" t="inlineStr"/>
      <c r="J4" s="2" t="inlineStr"/>
      <c r="K4" s="2" t="inlineStr">
        <is>
          <t>ACA/ACIA accounting professional with interests and experience in financial planning, corporate finance, ESG-aligned project funding and strategic investment decisions. Strong analytical fit, but profile appears relatively early-career.</t>
        </is>
      </c>
      <c r="L4" s="2" t="inlineStr">
        <is>
          <t>Potential future referrals involving financial analysis, strategic investment and quantitative business decisions.</t>
        </is>
      </c>
      <c r="M4" s="2" t="inlineStr">
        <is>
          <t>LinkedIn</t>
        </is>
      </c>
      <c r="N4" s="2" t="inlineStr">
        <is>
          <t>Research</t>
        </is>
      </c>
      <c r="O4" s="2" t="inlineStr">
        <is>
          <t>Low</t>
        </is>
      </c>
      <c r="P4" s="3" t="n">
        <v>46274</v>
      </c>
      <c r="Q4" s="2" t="inlineStr"/>
      <c r="R4" s="2" t="inlineStr"/>
      <c r="S4" s="2" t="inlineStr"/>
      <c r="T4" s="2" t="inlineStr"/>
      <c r="U4" s="2" t="inlineStr">
        <is>
          <t>Profile shows Finance Intern at Oando Clean Energy and Finance &amp; Operations Intern at Zitara Investments. Keep in network; not an immediate priority.</t>
        </is>
      </c>
      <c r="V4" s="2" t="inlineStr">
        <is>
          <t>Both</t>
        </is>
      </c>
    </row>
    <row r="5">
      <c r="A5" s="2" t="inlineStr">
        <is>
          <t>Sunkanmi (Olakunle) Afolabi</t>
        </is>
      </c>
      <c r="B5" s="2" t="inlineStr">
        <is>
          <t>EY</t>
        </is>
      </c>
      <c r="C5" s="2" t="inlineStr">
        <is>
          <t>CFO/Finance Consultant</t>
        </is>
      </c>
      <c r="D5" s="2" t="inlineStr">
        <is>
          <t>Financial accounting advisory, trade finance, corporate finance</t>
        </is>
      </c>
      <c r="E5" s="2" t="inlineStr">
        <is>
          <t>Lagos State, Nigeria</t>
        </is>
      </c>
      <c r="F5" s="2" t="inlineStr"/>
      <c r="G5" s="2" t="inlineStr"/>
      <c r="H5" s="2" t="inlineStr"/>
      <c r="I5" s="2" t="inlineStr"/>
      <c r="J5" s="2" t="inlineStr"/>
      <c r="K5" s="2" t="inlineStr">
        <is>
          <t>Financial Accounting Advisory Services professional with extensive trade-finance experience, including transaction monitoring, reconciliation, performance reporting and advisory work with internal/external customers.</t>
        </is>
      </c>
      <c r="L5" s="2" t="inlineStr">
        <is>
          <t>Potential introductions to businesses with complex finance, operations or resource-allocation problems; also potentially valuable as a professional relationship.</t>
        </is>
      </c>
      <c r="M5" s="2" t="inlineStr">
        <is>
          <t>LinkedIn</t>
        </is>
      </c>
      <c r="N5" s="2" t="inlineStr">
        <is>
          <t>Research</t>
        </is>
      </c>
      <c r="O5" s="2" t="inlineStr">
        <is>
          <t>Medium</t>
        </is>
      </c>
      <c r="P5" s="3" t="n">
        <v>46274</v>
      </c>
      <c r="Q5" s="2" t="inlineStr"/>
      <c r="R5" s="2" t="inlineStr"/>
      <c r="S5" s="2" t="inlineStr"/>
      <c r="T5" s="2" t="inlineStr"/>
      <c r="U5" s="2" t="inlineStr">
        <is>
          <t>Currently employed at EY. Relationship-first approach recommended; do not assume he can participate in an external paid referral arrangement.</t>
        </is>
      </c>
      <c r="V5" s="2" t="inlineStr">
        <is>
          <t>Both</t>
        </is>
      </c>
    </row>
    <row r="6">
      <c r="A6" s="2" t="inlineStr">
        <is>
          <t>Joy Williams</t>
        </is>
      </c>
      <c r="B6" s="2" t="inlineStr"/>
      <c r="C6" s="2" t="inlineStr">
        <is>
          <t>CFO/Finance Consultant</t>
        </is>
      </c>
      <c r="D6" s="2" t="inlineStr">
        <is>
          <t>Financial consulting, business advisory, strategy, corporate finance</t>
        </is>
      </c>
      <c r="E6" s="2" t="inlineStr">
        <is>
          <t>Nigeria</t>
        </is>
      </c>
      <c r="F6" s="2" t="inlineStr"/>
      <c r="G6" s="2" t="inlineStr"/>
      <c r="H6" s="2" t="inlineStr"/>
      <c r="I6" s="2" t="inlineStr"/>
      <c r="J6" s="2" t="inlineStr"/>
      <c r="K6" s="2" t="inlineStr">
        <is>
          <t>ICAN graduate member with experience supporting businesses through financial consulting. Explicitly interested in financial analysis, corporate finance, business advisory and strategy, and states that she is open to collaborations and conversations.</t>
        </is>
      </c>
      <c r="L6" s="2" t="inlineStr">
        <is>
          <t>Businesses needing deeper quantitative analysis for operational, financial, resource-allocation or strategic decisions.</t>
        </is>
      </c>
      <c r="M6" s="2" t="inlineStr">
        <is>
          <t>LinkedIn</t>
        </is>
      </c>
      <c r="N6" s="2" t="inlineStr">
        <is>
          <t>Research</t>
        </is>
      </c>
      <c r="O6" s="2" t="inlineStr">
        <is>
          <t>High</t>
        </is>
      </c>
      <c r="P6" s="3" t="n">
        <v>46274</v>
      </c>
      <c r="Q6" s="2" t="inlineStr"/>
      <c r="R6" s="2" t="inlineStr"/>
      <c r="S6" s="2" t="inlineStr"/>
      <c r="T6" s="2" t="inlineStr"/>
      <c r="U6" s="2" t="inlineStr">
        <is>
          <t>Strongest fit of the current batch. Profile explicitly mentions business consulting/advisory overlap and openness to collaborations.</t>
        </is>
      </c>
      <c r="V6" s="2" t="inlineStr">
        <is>
          <t>Both</t>
        </is>
      </c>
    </row>
    <row r="7">
      <c r="A7" s="2" t="inlineStr">
        <is>
          <t>Ohita Ebohon ACA, AAT</t>
        </is>
      </c>
      <c r="B7" s="2" t="inlineStr">
        <is>
          <t>EY</t>
        </is>
      </c>
      <c r="C7" s="2" t="inlineStr">
        <is>
          <t>Accountant</t>
        </is>
      </c>
      <c r="D7" s="2" t="inlineStr">
        <is>
          <t>Audit, finance, accounting, financial reporting</t>
        </is>
      </c>
      <c r="E7" s="2" t="inlineStr">
        <is>
          <t>Lagos State, Nigeria</t>
        </is>
      </c>
      <c r="F7" s="2" t="inlineStr"/>
      <c r="G7" s="2" t="inlineStr"/>
      <c r="H7" s="2" t="inlineStr"/>
      <c r="I7" s="2" t="inlineStr"/>
      <c r="J7" s="2" t="inlineStr"/>
      <c r="K7" s="2" t="inlineStr">
        <is>
          <t>ACA/AAT with about 3 years of accounting, audit and financial reporting experience. Skilled in financial statement analysis, reconciliations, internal controls and ERP/accounting tools. Shared University of Benin background and 500+ connections, but profile does not show an independent advisory/client practice.</t>
        </is>
      </c>
      <c r="L7" s="2" t="inlineStr">
        <is>
          <t>Potential future introductions through professional network; could become more relevant if she moves into financial advisory, business consulting or an independent practice.</t>
        </is>
      </c>
      <c r="M7" s="2" t="inlineStr">
        <is>
          <t>LinkedIn</t>
        </is>
      </c>
      <c r="N7" s="2" t="inlineStr">
        <is>
          <t>Research</t>
        </is>
      </c>
      <c r="O7" s="2" t="inlineStr">
        <is>
          <t>Medium</t>
        </is>
      </c>
      <c r="P7" s="3" t="n">
        <v>46274</v>
      </c>
      <c r="Q7" s="2" t="inlineStr"/>
      <c r="R7" s="2" t="inlineStr"/>
      <c r="S7" s="2" t="inlineStr"/>
      <c r="T7" s="2" t="inlineStr"/>
      <c r="U7" s="2" t="inlineStr">
        <is>
          <t>Currently an Audit Associate at EY. Strong professional/technical profile, but not yet a clear referral-distribution node. Shared University of Benin connection.</t>
        </is>
      </c>
      <c r="V7" s="2" t="inlineStr">
        <is>
          <t>Zaena</t>
        </is>
      </c>
    </row>
    <row r="8">
      <c r="A8" s="2" t="inlineStr">
        <is>
          <t>Oluwafisayomi Fasusi, ACA</t>
        </is>
      </c>
      <c r="B8" s="2" t="inlineStr"/>
      <c r="C8" s="2" t="inlineStr">
        <is>
          <t>Accountant</t>
        </is>
      </c>
      <c r="D8" s="2" t="inlineStr">
        <is>
          <t>Taxation, auditing, business advisory, finance &amp; strategy</t>
        </is>
      </c>
      <c r="E8" s="2" t="inlineStr">
        <is>
          <t>Nigeria</t>
        </is>
      </c>
      <c r="F8" s="2" t="inlineStr"/>
      <c r="G8" s="2" t="inlineStr"/>
      <c r="H8" s="2" t="inlineStr"/>
      <c r="I8" s="2" t="inlineStr"/>
      <c r="J8" s="2" t="inlineStr"/>
      <c r="K8" s="2" t="inlineStr">
        <is>
          <t>ACA and ACCA student/finalist with explicit positioning around taxation, finance, strategy, business advisory and resource optimization. Her profile shows accounting experience plus leadership in a tax club and a relatively active professional network (767 followers, 500+ connections).</t>
        </is>
      </c>
      <c r="L8" s="2" t="inlineStr">
        <is>
          <t>Potential referrals from businesses she encounters through tax/accounting/advisory relationships, especially businesses needing operational/resource optimization or difficult financial/strategic decisions.</t>
        </is>
      </c>
      <c r="M8" s="2" t="inlineStr">
        <is>
          <t>LinkedIn</t>
        </is>
      </c>
      <c r="N8" s="2" t="inlineStr">
        <is>
          <t>Research</t>
        </is>
      </c>
      <c r="O8" s="2" t="inlineStr">
        <is>
          <t>High</t>
        </is>
      </c>
      <c r="P8" s="3" t="n">
        <v>46274</v>
      </c>
      <c r="Q8" s="2" t="inlineStr"/>
      <c r="R8" s="2" t="inlineStr"/>
      <c r="S8" s="2" t="inlineStr"/>
      <c r="T8" s="2" t="inlineStr"/>
      <c r="U8" s="2" t="inlineStr">
        <is>
          <t>Strong thematic fit: her own About section talks about taxation and finance as tools for resource optimization and strategy as the lens for sustainable decisions. However, she appears early-career and her profile does not yet show an established independent client base. Approach as a professional collaboration/referral relationship rather than assuming she has clients to refer immediately.</t>
        </is>
      </c>
      <c r="V8" s="2" t="inlineStr">
        <is>
          <t>Both</t>
        </is>
      </c>
    </row>
    <row r="9">
      <c r="A9" s="2" t="inlineStr">
        <is>
          <t>Tomi Akinwale</t>
        </is>
      </c>
      <c r="B9" s="2" t="inlineStr">
        <is>
          <t>Nigeria Revenue Service (NRS)</t>
        </is>
      </c>
      <c r="C9" s="2" t="inlineStr">
        <is>
          <t>Tax Adviser</t>
        </is>
      </c>
      <c r="D9" s="2" t="inlineStr">
        <is>
          <t>Tax advisory, small-business tax, accounting, financial advisory</t>
        </is>
      </c>
      <c r="E9" s="2" t="inlineStr">
        <is>
          <t>Nigeria</t>
        </is>
      </c>
      <c r="F9" s="2" t="inlineStr"/>
      <c r="G9" s="2" t="inlineStr"/>
      <c r="H9" s="2" t="inlineStr"/>
      <c r="I9" s="2" t="inlineStr"/>
      <c r="J9" s="2" t="inlineStr"/>
      <c r="K9" s="2" t="inlineStr">
        <is>
          <t>Strong thematic fit: presents himself around practical tax knowledge, smarter decisions and actionable outcomes, and publishes a recurring tax-insight series. His profile also lists Financial Advisory, Small Business Tax, Tax Preparation and Tax Advisory.</t>
        </is>
      </c>
      <c r="L9" s="2" t="inlineStr">
        <is>
          <t>Potential relationship with small-business owners and finance professionals who may encounter operational/resource-allocation problems beyond tax. However, because he is currently a Tax Officer at NRS, do not propose paid referrals or any arrangement that could create a public-service conflict; keep this as a professional/network relationship unless he is clearly operating independently and lawfully outside that role.</t>
        </is>
      </c>
      <c r="M9" s="2" t="inlineStr">
        <is>
          <t>LinkedIn</t>
        </is>
      </c>
      <c r="N9" s="2" t="inlineStr">
        <is>
          <t>Research</t>
        </is>
      </c>
      <c r="O9" s="2" t="inlineStr">
        <is>
          <t>Medium</t>
        </is>
      </c>
      <c r="P9" s="3" t="n">
        <v>46274</v>
      </c>
      <c r="Q9" s="2" t="inlineStr"/>
      <c r="R9" s="2" t="inlineStr"/>
      <c r="S9" s="2" t="inlineStr"/>
      <c r="T9" s="2" t="inlineStr"/>
      <c r="U9" s="2" t="inlineStr">
        <is>
          <t>Currently a Tax Officer at NRS. His public tax-content activity and service positioning make him relevant, but government employment is a significant reason to avoid assuming commercial referral eligibility.</t>
        </is>
      </c>
      <c r="V9" s="2" t="inlineStr">
        <is>
          <t>Zaena</t>
        </is>
      </c>
    </row>
    <row r="10">
      <c r="A10" s="2" t="inlineStr">
        <is>
          <t>Saminu Ahmad ND,BSc (ACA in view)</t>
        </is>
      </c>
      <c r="B10" s="2" t="inlineStr">
        <is>
          <t>Nigeria Revenue Service (NRS)</t>
        </is>
      </c>
      <c r="C10" s="2" t="inlineStr">
        <is>
          <t>Tax Adviser</t>
        </is>
      </c>
      <c r="D10" s="2" t="inlineStr">
        <is>
          <t>Tax advisory, finance, accounting, financial modelling, small-business tax</t>
        </is>
      </c>
      <c r="E10" s="2" t="inlineStr">
        <is>
          <t>Lagos State, Nigeria</t>
        </is>
      </c>
      <c r="F10" s="2" t="inlineStr"/>
      <c r="G10" s="2" t="inlineStr"/>
      <c r="H10" s="2" t="inlineStr"/>
      <c r="I10" s="2" t="inlineStr"/>
      <c r="J10" s="2" t="inlineStr"/>
      <c r="K10" s="2" t="inlineStr">
        <is>
          <t>Very relevant service overlap: profile explicitly lists Tax Advisory, Financial Advisory, Small Business Tax, Tax Preparation, Accounting and Financial Accounting; top skills include Finance, Tax and Finance Modelling. This is close to the kind of business-adjacent professional who can understand the value of quantitative decision support.</t>
        </is>
      </c>
      <c r="L10" s="2" t="inlineStr">
        <is>
          <t>Potential introductions to small businesses and finance contacts with difficult operational, financial or resource-allocation decisions. But he is currently with NRS, so paid referral arrangements should not be proposed unless independent commercial activity is clearly permissible and separate from his official role.</t>
        </is>
      </c>
      <c r="M10" s="2" t="inlineStr">
        <is>
          <t>LinkedIn</t>
        </is>
      </c>
      <c r="N10" s="2" t="inlineStr">
        <is>
          <t>Research</t>
        </is>
      </c>
      <c r="O10" s="2" t="inlineStr">
        <is>
          <t>Medium</t>
        </is>
      </c>
      <c r="P10" s="3" t="n">
        <v>46274</v>
      </c>
      <c r="Q10" s="2" t="inlineStr"/>
      <c r="R10" s="2" t="inlineStr"/>
      <c r="S10" s="2" t="inlineStr"/>
      <c r="T10" s="2" t="inlineStr"/>
      <c r="U10" s="2" t="inlineStr">
        <is>
          <t>Currently at NRS. Strong fit on paper, but public-sector employment creates a conflict/compliance consideration. Treat as relationship-building first.</t>
        </is>
      </c>
      <c r="V10" s="2" t="inlineStr">
        <is>
          <t>Zaena</t>
        </is>
      </c>
    </row>
    <row r="11">
      <c r="A11" s="2" t="inlineStr">
        <is>
          <t>Nwachukwu Marycynthia Chidiogo A.</t>
        </is>
      </c>
      <c r="B11" s="2" t="inlineStr">
        <is>
          <t>Mercor</t>
        </is>
      </c>
      <c r="C11" s="2" t="inlineStr">
        <is>
          <t>Accounting / Operations Consultant</t>
        </is>
      </c>
      <c r="D11" s="2" t="inlineStr">
        <is>
          <t>Accounting, financial analysis, bookkeeping, business operations, virtual assistance</t>
        </is>
      </c>
      <c r="E11" s="2" t="inlineStr">
        <is>
          <t>Benin City, Edo State, Nigeria</t>
        </is>
      </c>
      <c r="F11" s="2" t="inlineStr"/>
      <c r="G11" s="2" t="inlineStr"/>
      <c r="H11" s="2" t="inlineStr"/>
      <c r="I11" s="2" t="inlineStr"/>
      <c r="J11" s="2" t="inlineStr"/>
      <c r="K11" s="2" t="inlineStr">
        <is>
          <t>Interesting prospect because she works across accounting, financial operations, QA and general business support, and offers Financial Analysis, Accounting, Bookkeeping, Project Management and Virtual Assistance. Her recent post explicitly reflects cross-functional business thinking: different business functions are interdependent. She also appears to work directly on client accounting through a contractor role.</t>
        </is>
      </c>
      <c r="L11" s="2" t="inlineStr">
        <is>
          <t>Potentially strong referral partner for small businesses and founders she supports directly. Clients who need bookkeeping/accounting help may also have production, inventory, capacity, pricing, resource-allocation or operational problems that Toledah can analyze.</t>
        </is>
      </c>
      <c r="M11" s="2" t="inlineStr">
        <is>
          <t>LinkedIn</t>
        </is>
      </c>
      <c r="N11" s="2" t="inlineStr">
        <is>
          <t>Research</t>
        </is>
      </c>
      <c r="O11" s="2" t="inlineStr">
        <is>
          <t>High</t>
        </is>
      </c>
      <c r="P11" s="3" t="n">
        <v>46274</v>
      </c>
      <c r="Q11" s="2" t="inlineStr"/>
      <c r="R11" s="2" t="inlineStr"/>
      <c r="S11" s="2" t="inlineStr"/>
      <c r="T11" s="2" t="inlineStr"/>
      <c r="U11" s="2" t="inlineStr">
        <is>
          <t>One of the more promising profiles in this batch because she appears closer to actual SME/client work than a purely corporate accounting employee. Banner also explicitly markets Financial Analysis and Accounting alongside administrative/business support. Worth investigating whether her Mercor accounting work involves external clients and whether she independently serves businesses.</t>
        </is>
      </c>
      <c r="V11" s="2" t="inlineStr">
        <is>
          <t>Both</t>
        </is>
      </c>
    </row>
    <row r="12">
      <c r="A12" s="2" t="inlineStr">
        <is>
          <t>Favour Obi</t>
        </is>
      </c>
      <c r="B12" s="2" t="inlineStr"/>
      <c r="C12" s="2" t="inlineStr">
        <is>
          <t>Corporate Finance / Accounting / Financial Analysis</t>
        </is>
      </c>
      <c r="D12" s="2" t="inlineStr">
        <is>
          <t>Corporate finance, accounting, financial analysis, data analysis, financial modelling, equity research</t>
        </is>
      </c>
      <c r="E12" s="2" t="inlineStr">
        <is>
          <t>Lagos, Lagos State, Nigeria</t>
        </is>
      </c>
      <c r="F12" s="2" t="inlineStr"/>
      <c r="G12" s="2" t="inlineStr"/>
      <c r="H12" s="2" t="inlineStr"/>
      <c r="I12" s="2" t="inlineStr"/>
      <c r="J12" s="2" t="inlineStr"/>
      <c r="K12" s="2" t="inlineStr">
        <is>
          <t>Strong analytical profile: explicitly positions herself around corporate finance, accounting, financial analysis and data analysis. Her CFA Society Nigeria experience involved preparing for equity research work and lists financial modelling and financial analysis among her skills. She has a sizeable professional network and a University of Benin connection.</t>
        </is>
      </c>
      <c r="L12" s="2" t="inlineStr">
        <is>
          <t>Potential referral/network prospect rather than an obvious freelance accountant. She may know finance professionals, founders or businesses that could need deeper business analysis and optimization. Worth connecting first and learning whether she currently works with businesses or clients.</t>
        </is>
      </c>
      <c r="M12" s="2" t="inlineStr">
        <is>
          <t>LinkedIn</t>
        </is>
      </c>
      <c r="N12" s="2" t="inlineStr">
        <is>
          <t>Research</t>
        </is>
      </c>
      <c r="O12" s="2" t="inlineStr">
        <is>
          <t>Medium</t>
        </is>
      </c>
      <c r="P12" s="3" t="n">
        <v>46274</v>
      </c>
      <c r="Q12" s="2" t="inlineStr"/>
      <c r="R12" s="2" t="inlineStr"/>
      <c r="S12" s="2" t="inlineStr"/>
      <c r="T12" s="2" t="inlineStr"/>
      <c r="U12" s="2" t="inlineStr">
        <is>
          <t>Good analytical adjacency, but weaker immediate fit than people visibly offering accounting/bookkeeping services to external clients. Do not pitch a referral immediately; start with a genuine connection/conversation.</t>
        </is>
      </c>
      <c r="V12" s="2" t="inlineStr">
        <is>
          <t>Optimization / Analysis</t>
        </is>
      </c>
    </row>
    <row r="13">
      <c r="A13" s="2" t="inlineStr">
        <is>
          <t>Felicia Jinks</t>
        </is>
      </c>
      <c r="B13" s="2" t="inlineStr"/>
      <c r="C13" s="2" t="inlineStr">
        <is>
          <t>Accounting &amp; Bookkeeping / CFO Advisory</t>
        </is>
      </c>
      <c r="D13" s="2" t="inlineStr">
        <is>
          <t>Accounting, bookkeeping, financial accounting, budgeting, financial analysis, financial reporting</t>
        </is>
      </c>
      <c r="E13" s="2" t="inlineStr">
        <is>
          <t>Atlanta, Georgia, United States</t>
        </is>
      </c>
      <c r="F13" s="2" t="inlineStr"/>
      <c r="G13" s="2" t="inlineStr"/>
      <c r="H13" s="2" t="inlineStr"/>
      <c r="I13" s="2" t="inlineStr"/>
      <c r="J13" s="2" t="inlineStr"/>
      <c r="K13" s="2" t="inlineStr">
        <is>
          <t>Founder &amp; CEO of Savi Accounting Services; explicitly serves founders, small businesses and nonprofits as a trusted accounting partner. Also has senior accounting management experience and offers financial analysis, budgeting and reporting.</t>
        </is>
      </c>
      <c r="L13" s="2" t="inlineStr">
        <is>
          <t>High-priority referral prospect. She is directly client-facing, operates her own accounting firm, and works with the exact small-business audience that can encounter deeper operational, financial and decision-making problems. Potentially useful as both a referral partner and a source of insight into recurring client problems.</t>
        </is>
      </c>
      <c r="M13" s="2" t="inlineStr">
        <is>
          <t>LinkedIn</t>
        </is>
      </c>
      <c r="N13" s="2" t="inlineStr">
        <is>
          <t>Research</t>
        </is>
      </c>
      <c r="O13" s="2" t="inlineStr">
        <is>
          <t>High</t>
        </is>
      </c>
      <c r="P13" s="3" t="n">
        <v>46274</v>
      </c>
      <c r="Q13" s="2" t="inlineStr"/>
      <c r="R13" s="2" t="inlineStr"/>
      <c r="S13" s="2" t="inlineStr"/>
      <c r="T13" s="2" t="inlineStr"/>
      <c r="U13" s="2" t="inlineStr">
        <is>
          <t>Strongest fit in this batch. Her profile explicitly says clients need more than bookkeeping and describes herself as a trusted partner, which makes the positioning for complementary business analytics/optimization especially natural. International location is not a blocker for referrals, but qualify fit and willingness to refer.</t>
        </is>
      </c>
      <c r="V13" s="2" t="inlineStr">
        <is>
          <t>Both</t>
        </is>
      </c>
    </row>
    <row r="14">
      <c r="A14" s="2" t="inlineStr">
        <is>
          <t>Egharevba Uwaila</t>
        </is>
      </c>
      <c r="B14" s="2" t="n"/>
      <c r="C14" s="2" t="inlineStr">
        <is>
          <t>Certified Accounting Professional | AAT | ICAN | Aspiring Virtual Assistant</t>
        </is>
      </c>
      <c r="D14" s="2" t="inlineStr">
        <is>
          <t>Accounting, account reconciliation, budgeting, variance analysis, sales reporting, inventory reporting, operational reporting</t>
        </is>
      </c>
      <c r="E14" s="2" t="inlineStr">
        <is>
          <t>Benin City, Edo State, Nigeria</t>
        </is>
      </c>
      <c r="F14" s="2" t="n"/>
      <c r="G14" s="2" t="n"/>
      <c r="H14" s="2" t="inlineStr">
        <is>
          <t>Premiere Academy</t>
        </is>
      </c>
      <c r="I14" s="2" t="n"/>
      <c r="J14" s="2" t="inlineStr">
        <is>
          <t>11+ mutual connections; University of Benin overlap</t>
        </is>
      </c>
      <c r="K14" s="2" t="inlineStr">
        <is>
          <t>Accounting professional with hands-on experience in budgeting, variance analysis, sales reporting, inventory reporting and operational reporting. Could naturally encounter SMEs needing better financial visibility and business systems.</t>
        </is>
      </c>
      <c r="L14" s="2" t="inlineStr">
        <is>
          <t>Medium-priority referral prospect. Relevant to both Zaena and Optimization/Analysis, but currently appears employed rather than independently client-facing, so referral potential should be qualified before outreach.</t>
        </is>
      </c>
      <c r="M14" s="2" t="inlineStr">
        <is>
          <t>LinkedIn</t>
        </is>
      </c>
      <c r="N14" s="2" t="inlineStr">
        <is>
          <t>Research</t>
        </is>
      </c>
      <c r="O14" s="2" t="inlineStr">
        <is>
          <t>Medium</t>
        </is>
      </c>
      <c r="P14" s="3" t="n">
        <v>46274</v>
      </c>
      <c r="Q14" s="2" t="n"/>
      <c r="R14" s="2" t="n"/>
      <c r="S14" s="2" t="n"/>
      <c r="T14" s="2" t="n"/>
      <c r="U14" s="2" t="inlineStr">
        <is>
          <t>Good thematic fit and unusually relevant operational accounting exposure. Strong UNIBEN/mutual-connection bridge, but less evidence of an existing business-owner client network than independent accountants/advisers.</t>
        </is>
      </c>
      <c r="V14" s="2" t="inlineStr">
        <is>
          <t>Both</t>
        </is>
      </c>
    </row>
    <row r="15">
      <c r="A15" s="2" t="inlineStr">
        <is>
          <t>Gabriel Owolabi Osofisan</t>
        </is>
      </c>
      <c r="B15" s="2" t="inlineStr"/>
      <c r="C15" s="2" t="inlineStr">
        <is>
          <t>B.Sc(Ed), AAT, ACA (Qualified) | Accounting &amp; Finance Professional | Reporting | Taxation | Data Analysis | FP&amp;A</t>
        </is>
      </c>
      <c r="D15" s="2" t="inlineStr">
        <is>
          <t>Accounting, Finance, Reporting, Taxation, Data Analysis, FP&amp;A</t>
        </is>
      </c>
      <c r="E15" s="2" t="inlineStr">
        <is>
          <t>Lagos, Nigeria</t>
        </is>
      </c>
      <c r="F15" s="2" t="inlineStr"/>
      <c r="G15" s="2" t="inlineStr"/>
      <c r="H15" s="2" t="inlineStr"/>
      <c r="I15" s="2" t="inlineStr"/>
      <c r="J15" s="2" t="inlineStr">
        <is>
          <t>4 mutual connections; University of Benin overlap</t>
        </is>
      </c>
      <c r="K15" s="2" t="inlineStr">
        <is>
          <t>Strong technical finance/accounting profile; could identify businesses needing financial systems (Zaena) or deeper financial/operational analysis. Qualified ACA adds credibility.</t>
        </is>
      </c>
      <c r="L15" s="2" t="inlineStr">
        <is>
          <t>Medium referral prospect. Relevant expertise, but only ~2.5 years of visible experience and recent role is Audit Trainee; no clear evidence yet of an independent client base or SME advisory practice.</t>
        </is>
      </c>
      <c r="M15" s="2" t="inlineStr">
        <is>
          <t>LinkedIn</t>
        </is>
      </c>
      <c r="N15" s="2" t="inlineStr">
        <is>
          <t>New</t>
        </is>
      </c>
      <c r="O15" s="2" t="inlineStr">
        <is>
          <t>Medium</t>
        </is>
      </c>
      <c r="P15" s="3" t="inlineStr">
        <is>
          <t>2026-09-09</t>
        </is>
      </c>
      <c r="Q15" s="2" t="inlineStr"/>
      <c r="R15" s="2" t="inlineStr"/>
      <c r="S15" s="2" t="inlineStr"/>
      <c r="T15" s="2" t="inlineStr"/>
      <c r="U15" s="2" t="inlineStr"/>
      <c r="V15" s="2" t="inlineStr">
        <is>
          <t>Both</t>
        </is>
      </c>
    </row>
    <row r="16">
      <c r="A16" s="2" t="inlineStr">
        <is>
          <t>AnthoniaChikeka</t>
        </is>
      </c>
      <c r="B16" s="2" t="inlineStr"/>
      <c r="C16" s="2" t="inlineStr">
        <is>
          <t>Accounting Graduate | ACA (in-view)</t>
        </is>
      </c>
      <c r="D16" s="2" t="inlineStr">
        <is>
          <t>Accounting, Financial Reporting, Performance Management, Business Operations, Content Writing, Research</t>
        </is>
      </c>
      <c r="E16" s="2" t="inlineStr">
        <is>
          <t>Lagos, Nigeria</t>
        </is>
      </c>
      <c r="F16" s="2" t="inlineStr">
        <is>
          <t>chidimaanthonia.journoportfolio.com</t>
        </is>
      </c>
      <c r="G16" s="2" t="inlineStr"/>
      <c r="H16" s="2" t="inlineStr"/>
      <c r="I16" s="2" t="inlineStr"/>
      <c r="J16" s="2" t="inlineStr">
        <is>
          <t>2 mutual connections; large follower base; portfolio and freelance work</t>
        </is>
      </c>
      <c r="K16" s="2" t="inlineStr">
        <is>
          <t>Early-career accounting professional with developing knowledge of financial reporting, performance management and business operations. Her freelance work writing for Web3 founders/influencers suggests some exposure to business-owner networks. Could potentially identify businesses for Zaena and, to a lesser extent, optimization.</t>
        </is>
      </c>
      <c r="L16" s="2" t="inlineStr">
        <is>
          <t>Medium referral prospect, but lower confidence than established accountants/advisers. No visible track record of serving SME clients in an accounting/advisory capacity yet.</t>
        </is>
      </c>
      <c r="M16" s="2" t="inlineStr">
        <is>
          <t>LinkedIn</t>
        </is>
      </c>
      <c r="N16" s="2" t="inlineStr">
        <is>
          <t>New</t>
        </is>
      </c>
      <c r="O16" s="2" t="inlineStr">
        <is>
          <t>Medium</t>
        </is>
      </c>
      <c r="P16" s="3" t="inlineStr">
        <is>
          <t>2026-09-09</t>
        </is>
      </c>
      <c r="Q16" s="2" t="inlineStr"/>
      <c r="R16" s="2" t="inlineStr"/>
      <c r="S16" s="2" t="inlineStr"/>
      <c r="T16" s="2" t="inlineStr"/>
      <c r="U16" s="2" t="inlineStr"/>
      <c r="V16" s="2" t="inlineStr">
        <is>
          <t>Both</t>
        </is>
      </c>
    </row>
    <row r="17">
      <c r="A17" s="2" t="inlineStr">
        <is>
          <t>Chidinma Anokwuru</t>
        </is>
      </c>
      <c r="B17" s="2" t="inlineStr"/>
      <c r="C17" s="2" t="inlineStr">
        <is>
          <t>Finance Support | Management &amp; Financial Accounting | Manufacturing Industry</t>
        </is>
      </c>
      <c r="D17" s="2" t="inlineStr">
        <is>
          <t>Finance Support, Management Accounting, Financial Accounting, Manufacturing Finance</t>
        </is>
      </c>
      <c r="E17" s="2" t="inlineStr">
        <is>
          <t>Lagos, Nigeria</t>
        </is>
      </c>
      <c r="F17" s="2" t="inlineStr"/>
      <c r="G17" s="2" t="inlineStr"/>
      <c r="H17" s="2" t="inlineStr">
        <is>
          <t>Beiersdorf</t>
        </is>
      </c>
      <c r="I17" s="2" t="inlineStr"/>
      <c r="J17" s="2" t="inlineStr">
        <is>
          <t>1 mutual connection; 500+ connections</t>
        </is>
      </c>
      <c r="K17" s="2" t="inlineStr">
        <is>
          <t>Good fit across both tracks: finance/accounting experience can expose businesses that need better financial/operational systems, while manufacturing-industry experience is particularly relevant to optimization and operational analysis.</t>
        </is>
      </c>
      <c r="L17" s="2" t="inlineStr">
        <is>
          <t>Medium referral prospect. Relevant practical finance experience, including manufacturing and SME exposure, but no clear evidence yet of an independent advisory practice or established business-owner client base.</t>
        </is>
      </c>
      <c r="M17" s="2" t="inlineStr">
        <is>
          <t>LinkedIn</t>
        </is>
      </c>
      <c r="N17" s="2" t="inlineStr">
        <is>
          <t>New</t>
        </is>
      </c>
      <c r="O17" s="2" t="inlineStr">
        <is>
          <t>Medium</t>
        </is>
      </c>
      <c r="P17" s="3" t="inlineStr">
        <is>
          <t>2026-09-09</t>
        </is>
      </c>
      <c r="Q17" s="2" t="inlineStr"/>
      <c r="R17" s="2" t="inlineStr"/>
      <c r="S17" s="2" t="inlineStr"/>
      <c r="T17" s="2" t="inlineStr"/>
      <c r="U17" s="2" t="inlineStr"/>
      <c r="V17" s="2" t="inlineStr">
        <is>
          <t>Both</t>
        </is>
      </c>
    </row>
    <row r="18">
      <c r="A18" s="2" t="inlineStr">
        <is>
          <t>Blessing Eriaremhen</t>
        </is>
      </c>
      <c r="B18" s="2" t="inlineStr"/>
      <c r="C18" s="2" t="inlineStr">
        <is>
          <t>Virtual Assistant | Administrative Support Specialist | CRM &amp; Remote Operations | Customer Support Expert</t>
        </is>
      </c>
      <c r="D18" s="2" t="inlineStr">
        <is>
          <t>Virtual Assistance, Administrative Support, CRM, Remote Operations, Customer Support, Email Marketing</t>
        </is>
      </c>
      <c r="E18" s="2" t="inlineStr">
        <is>
          <t>Lagos, Nigeria</t>
        </is>
      </c>
      <c r="F18" s="2" t="inlineStr"/>
      <c r="G18" s="2" t="inlineStr"/>
      <c r="H18" s="2" t="inlineStr">
        <is>
          <t>GAO Tek Inc. / TP</t>
        </is>
      </c>
      <c r="I18" s="2" t="inlineStr"/>
      <c r="J18" s="2" t="inlineStr">
        <is>
          <t>23 mutual connections; University of Benin overlap</t>
        </is>
      </c>
      <c r="K18" s="2" t="inlineStr">
        <is>
          <t>Potential Zaena referral partner because she works around business operations, CRM, customer support and administrative workflows, where she may encounter businesses needing better systems. Large mutual-connection network is a useful relationship signal.</t>
        </is>
      </c>
      <c r="L18" s="2" t="inlineStr">
        <is>
          <t>Medium referral prospect, Zaena-leaning. 3+ years of support experience and many mutual connections are positives, but there is no clear evidence yet of an independent advisory/client portfolio or direct access to SME decision-makers. Optimization fit is weaker.</t>
        </is>
      </c>
      <c r="M18" s="2" t="inlineStr">
        <is>
          <t>LinkedIn</t>
        </is>
      </c>
      <c r="N18" s="2" t="inlineStr">
        <is>
          <t>New</t>
        </is>
      </c>
      <c r="O18" s="2" t="inlineStr">
        <is>
          <t>Medium</t>
        </is>
      </c>
      <c r="P18" s="3" t="inlineStr">
        <is>
          <t>2026-09-09</t>
        </is>
      </c>
      <c r="Q18" s="2" t="inlineStr"/>
      <c r="R18" s="2" t="inlineStr"/>
      <c r="S18" s="2" t="inlineStr"/>
      <c r="T18" s="2" t="inlineStr"/>
      <c r="U18" s="2" t="inlineStr"/>
      <c r="V18" s="2" t="inlineStr">
        <is>
          <t>Zaena</t>
        </is>
      </c>
    </row>
    <row r="19">
      <c r="A19" s="2" t="inlineStr">
        <is>
          <t>Olusegun Oluseyi Abraham</t>
        </is>
      </c>
      <c r="B19" s="2" t="inlineStr"/>
      <c r="C19" s="2" t="inlineStr">
        <is>
          <t>Chief Executive Officer, RICH Consulting Limited | Chartered Accountant / Fellow ICAN</t>
        </is>
      </c>
      <c r="D19" s="2" t="inlineStr">
        <is>
          <t>Financial Advisory, Accounting, Financial Consulting, Taxation, Bank Charges Review &amp; Recovery, Recruitment &amp; Training</t>
        </is>
      </c>
      <c r="E19" s="2" t="inlineStr">
        <is>
          <t>Ikeja, Lagos, Nigeria</t>
        </is>
      </c>
      <c r="F19" s="2" t="inlineStr"/>
      <c r="G19" s="2" t="inlineStr"/>
      <c r="H19" s="2" t="inlineStr">
        <is>
          <t>RICH Consulting Limited</t>
        </is>
      </c>
      <c r="I19" s="2" t="inlineStr"/>
      <c r="J19" s="2" t="inlineStr">
        <is>
          <t>6+ mutual connections; 500+ connections</t>
        </is>
      </c>
      <c r="K19" s="2" t="inlineStr">
        <is>
          <t>Exceptional referral fit: CEO of a long-running financial consulting firm, Fellow of ICAN, with 20+ years post-qualification experience across audit, accountancy, financial consulting and taxation. His existing business-owner/client relationships are directly adjacent to both Zaena and the Optimization/Analysis practice.</t>
        </is>
      </c>
      <c r="L19" s="2" t="inlineStr">
        <is>
          <t>High-priority partner prospect. Strongest type of referral partner we are seeking: independent/client-facing professional with an established advisory practice and extensive experience. Need to qualify whether RICH Consulting serves SMEs and whether referral/commission partnerships are permitted, but profile fit is excellent.</t>
        </is>
      </c>
      <c r="M19" s="2" t="inlineStr">
        <is>
          <t>LinkedIn</t>
        </is>
      </c>
      <c r="N19" s="2" t="inlineStr">
        <is>
          <t>New</t>
        </is>
      </c>
      <c r="O19" s="2" t="inlineStr">
        <is>
          <t>High</t>
        </is>
      </c>
      <c r="P19" s="3" t="inlineStr">
        <is>
          <t>2026-09-09</t>
        </is>
      </c>
      <c r="Q19" s="2" t="inlineStr"/>
      <c r="R19" s="2" t="inlineStr"/>
      <c r="S19" s="2" t="inlineStr"/>
      <c r="T19" s="2" t="inlineStr"/>
      <c r="U19" s="2" t="inlineStr"/>
      <c r="V19" s="2" t="inlineStr">
        <is>
          <t>Both</t>
        </is>
      </c>
    </row>
    <row r="20">
      <c r="A20" s="2" t="inlineStr">
        <is>
          <t>Olamide A.</t>
        </is>
      </c>
      <c r="B20" s="2" t="inlineStr"/>
      <c r="C20" s="2" t="inlineStr">
        <is>
          <t>Executive Assistant &amp; Admin Strategist | CEO Support | HR &amp; Operations | Founder, BETHRAE SOLUTIONS | Helping Executives &amp; Businesses Run Smoothly</t>
        </is>
      </c>
      <c r="D20" s="2" t="inlineStr">
        <is>
          <t>Executive Assistance, Administrative Assistance, HR &amp; Operations, CRM, Workflow Automation, Project Management, Customer Support, Social Media Marketing</t>
        </is>
      </c>
      <c r="E20" s="2" t="inlineStr">
        <is>
          <t>Ikeja, Lagos, Nigeria</t>
        </is>
      </c>
      <c r="F20" s="2" t="inlineStr"/>
      <c r="G20" s="2" t="inlineStr"/>
      <c r="H20" s="2" t="inlineStr">
        <is>
          <t>BETHRAE SOLUTIONS</t>
        </is>
      </c>
      <c r="I20" s="2" t="inlineStr"/>
      <c r="J20" s="2" t="inlineStr">
        <is>
          <t>2nd-degree; 387 connections; 482 followers; 2 mutual connections</t>
        </is>
      </c>
      <c r="K20" s="2" t="inlineStr">
        <is>
          <t>Strong Zaena fit because she explicitly serves founders, executives and businesses and works inside administrative, CRM, HR and operational workflows. Those relationships can naturally expose businesses that need better systems and operational visibility.</t>
        </is>
      </c>
      <c r="L20" s="2" t="inlineStr">
        <is>
          <t>Medium-high referral prospect, but keep at Medium for now because the visible profile does not establish the size of her client base or how much decision-maker access she has. Founder/client-facing positioning is a strong positive. Optimization fit is secondary because her work is more operational support than analytical advisory.</t>
        </is>
      </c>
      <c r="M20" s="2" t="inlineStr">
        <is>
          <t>LinkedIn</t>
        </is>
      </c>
      <c r="N20" s="2" t="inlineStr">
        <is>
          <t>New</t>
        </is>
      </c>
      <c r="O20" s="2" t="inlineStr">
        <is>
          <t>Medium</t>
        </is>
      </c>
      <c r="P20" s="3" t="inlineStr">
        <is>
          <t>2026-09-09</t>
        </is>
      </c>
      <c r="Q20" s="2" t="inlineStr"/>
      <c r="R20" s="2" t="inlineStr"/>
      <c r="S20" s="2" t="inlineStr"/>
      <c r="T20" s="2" t="inlineStr"/>
      <c r="U20" s="2" t="inlineStr"/>
      <c r="V20" s="2" t="inlineStr">
        <is>
          <t>Zaena</t>
        </is>
      </c>
    </row>
    <row r="21">
      <c r="A21" s="2" t="inlineStr">
        <is>
          <t>Olasunkanmi Olaoye ACS</t>
        </is>
      </c>
      <c r="B21" s="2" t="inlineStr"/>
      <c r="C21" s="2" t="inlineStr">
        <is>
          <t>CEO at Flip Lenders Limited</t>
        </is>
      </c>
      <c r="D21" s="2" t="inlineStr">
        <is>
          <t>Financial services, lending, asset management, wealth management, business development, relationship management, operations</t>
        </is>
      </c>
      <c r="E21" s="2" t="inlineStr">
        <is>
          <t>Lagos, Nigeria</t>
        </is>
      </c>
      <c r="F21" s="2" t="inlineStr">
        <is>
          <t>https://bucksfield.com.ng/</t>
        </is>
      </c>
      <c r="G21" s="2" t="inlineStr"/>
      <c r="H21" s="2" t="inlineStr">
        <is>
          <t>Flip Lenders Limited</t>
        </is>
      </c>
      <c r="I21" s="2" t="inlineStr"/>
      <c r="J21" s="2" t="inlineStr">
        <is>
          <t>2nd-degree; 500+ connections; 8 mutual connections</t>
        </is>
      </c>
      <c r="K21" s="2" t="inlineStr">
        <is>
          <t>Potential strategic fit for Zaena Trust Score: as a lender/financial-services executive, he may have direct exposure to businesses seeking financing and a reason to care about credible business records, verified turnover, profitability and operational history.</t>
        </is>
      </c>
      <c r="L21" s="2" t="inlineStr">
        <is>
          <t>High strategic relevance, but Medium immediate referral likelihood. His profile is much more senior and institutionally connected than the typical prospect. Best approached as a potential lending/verification partnership rather than simply asking him to refer SMEs to Zaena. Need to establish whether Flip Lenders actually serves SMEs and whether verified Zaena business data could support borrower assessment.</t>
        </is>
      </c>
      <c r="M21" s="2" t="inlineStr">
        <is>
          <t>LinkedIn</t>
        </is>
      </c>
      <c r="N21" s="2" t="inlineStr">
        <is>
          <t>New</t>
        </is>
      </c>
      <c r="O21" s="2" t="inlineStr">
        <is>
          <t>Medium</t>
        </is>
      </c>
      <c r="P21" s="3" t="inlineStr">
        <is>
          <t>2026-09-09</t>
        </is>
      </c>
      <c r="Q21" s="2" t="inlineStr"/>
      <c r="R21" s="2" t="inlineStr"/>
      <c r="S21" s="2" t="inlineStr"/>
      <c r="T21" s="2" t="inlineStr"/>
      <c r="U21" s="2" t="inlineStr"/>
      <c r="V21" s="2" t="inlineStr"/>
    </row>
    <row r="22">
      <c r="A22" s="2" t="inlineStr">
        <is>
          <t>Babatunde (O) Kehinde</t>
        </is>
      </c>
      <c r="B22" s="2" t="inlineStr"/>
      <c r="C22" s="2" t="inlineStr">
        <is>
          <t>Chief Executive Officer at GEC Finance and Investment Ltd</t>
        </is>
      </c>
      <c r="D22" s="2" t="inlineStr">
        <is>
          <t>Corporate finance, business planning &amp; management, supply chain management, finance &amp; management consulting, audit &amp; tax, financial analysis, investment research, financial consulting, trade finance, investment banking</t>
        </is>
      </c>
      <c r="E22" s="2" t="inlineStr">
        <is>
          <t>Ikeja, Lagos, Nigeria</t>
        </is>
      </c>
      <c r="F22" s="2" t="inlineStr"/>
      <c r="G22" s="2" t="inlineStr"/>
      <c r="H22" s="2" t="inlineStr">
        <is>
          <t>GEC Finance and Investment Ltd</t>
        </is>
      </c>
      <c r="I22" s="2" t="inlineStr"/>
      <c r="J22" s="2" t="inlineStr">
        <is>
          <t>2nd-degree; 500+ connections</t>
        </is>
      </c>
      <c r="K22" s="2" t="inlineStr">
        <is>
          <t>Excellent potential partner: senior finance professional, entrepreneur and founder of several companies with experience across finance consulting, manufacturing, banking, supply chain and other SME-relevant industries. Could refer optimization work and may be strategically relevant to Zaena Trust Score / business-finance infrastructure.</t>
        </is>
      </c>
      <c r="L22" s="2" t="inlineStr">
        <is>
          <t>HIGH. Much closer to the ideal partner profile than a junior accounting graduate: senior, client-facing, entrepreneurial and explicitly involved in finance/management consulting. Strong candidate for a relationship-first conversation. Also worth exploring as a strategic Trust Score/financing partner. Qualify his current client base and SME exposure before proposing a referral arrangement.</t>
        </is>
      </c>
      <c r="M22" s="2" t="inlineStr">
        <is>
          <t>LinkedIn</t>
        </is>
      </c>
      <c r="N22" s="2" t="inlineStr">
        <is>
          <t>New</t>
        </is>
      </c>
      <c r="O22" s="2" t="inlineStr">
        <is>
          <t>High</t>
        </is>
      </c>
      <c r="P22" s="3" t="inlineStr">
        <is>
          <t>2026-09-09</t>
        </is>
      </c>
      <c r="Q22" s="2" t="inlineStr"/>
      <c r="R22" s="2" t="inlineStr"/>
      <c r="S22" s="2" t="inlineStr"/>
      <c r="T22" s="2" t="inlineStr"/>
      <c r="U22" s="2" t="inlineStr"/>
      <c r="V22" s="2" t="inlineStr"/>
    </row>
    <row r="23">
      <c r="A23" s="2" t="inlineStr">
        <is>
          <t>Joshua Adunoye</t>
        </is>
      </c>
      <c r="B23" s="2" t="inlineStr"/>
      <c r="C23" s="2" t="inlineStr">
        <is>
          <t>Business Consultant</t>
        </is>
      </c>
      <c r="D23" s="2" t="inlineStr">
        <is>
          <t>Business consulting, business growth strategy, communication, marketing strategy, content strategy, copywriting, digital marketing</t>
        </is>
      </c>
      <c r="E23" s="2" t="inlineStr">
        <is>
          <t>Lagos, Nigeria</t>
        </is>
      </c>
      <c r="F23" s="2" t="inlineStr"/>
      <c r="G23" s="2" t="inlineStr"/>
      <c r="H23" s="2" t="inlineStr"/>
      <c r="I23" s="2" t="inlineStr"/>
      <c r="J23" s="2" t="inlineStr">
        <is>
          <t>2nd-degree; 447 connections; 1 mutual connection</t>
        </is>
      </c>
      <c r="K23" s="2" t="inlineStr">
        <is>
          <t>Strong thematic fit: explicitly positions himself around giving businesses structure, systems and strategy. His consulting/growth work is adjacent to analytics and optimization, and he may encounter SME owners who need deeper quantitative analysis.</t>
        </is>
      </c>
      <c r="L23" s="2" t="inlineStr">
        <is>
          <t>HIGH potential referral partner, with one caveat: the visible profile leans heavily toward marketing/growth services, so qualify whether he actually advises businesses on operations, finance, strategy or systems rather than primarily executing marketing. If his clients are SMEs and he encounters business-performance problems outside his scope, the fit is strong.</t>
        </is>
      </c>
      <c r="M23" s="2" t="inlineStr">
        <is>
          <t>LinkedIn</t>
        </is>
      </c>
      <c r="N23" s="2" t="inlineStr">
        <is>
          <t>New</t>
        </is>
      </c>
      <c r="O23" s="2" t="inlineStr">
        <is>
          <t>High</t>
        </is>
      </c>
      <c r="P23" s="3" t="inlineStr">
        <is>
          <t>2026-09-09</t>
        </is>
      </c>
      <c r="Q23" s="2" t="inlineStr"/>
      <c r="R23" s="2" t="inlineStr"/>
      <c r="S23" s="2" t="inlineStr"/>
      <c r="T23" s="2" t="inlineStr"/>
      <c r="U23" s="2" t="inlineStr"/>
      <c r="V23" s="2" t="inlineStr"/>
    </row>
    <row r="24">
      <c r="A24" s="2" t="inlineStr">
        <is>
          <t>Philip Agboola</t>
        </is>
      </c>
      <c r="B24" s="2" t="inlineStr">
        <is>
          <t>philipagboola@gmail.com</t>
        </is>
      </c>
      <c r="C24" s="2" t="inlineStr">
        <is>
          <t>Business Consultant | Life Coach | HR Specialist | ForbesBLK Member</t>
        </is>
      </c>
      <c r="D24" s="2" t="inlineStr">
        <is>
          <t>Business consulting, HR, workforce training, operations, life coaching</t>
        </is>
      </c>
      <c r="E24" s="2" t="inlineStr">
        <is>
          <t>Abuja, Nigeria</t>
        </is>
      </c>
      <c r="F24" s="2" t="inlineStr">
        <is>
          <t>philipagboola.com</t>
        </is>
      </c>
      <c r="G24" s="2" t="inlineStr"/>
      <c r="H24" s="2" t="inlineStr">
        <is>
          <t>Central Skills CST Consult Limited / Teco Consult</t>
        </is>
      </c>
      <c r="I24" s="2" t="inlineStr">
        <is>
          <t>+234 912 686 5451</t>
        </is>
      </c>
      <c r="J24" s="2" t="inlineStr">
        <is>
          <t>2nd-degree; 500+ connections; 2,551 followers; 1 mutual connection</t>
        </is>
      </c>
      <c r="K24" s="2" t="inlineStr">
        <is>
          <t>Excellent referral-partner profile: established business consultant with long operating experience, HR/operations expertise, and an audience of professionals/businesses. His work sits next to optimization rather than directly duplicating it; workforce/operations clients can naturally have quantitative business problems that require deeper analysis.</t>
        </is>
      </c>
      <c r="L24" s="2" t="inlineStr">
        <is>
          <t>HIGH. Stronger than a generic accountant search result because he appears to have an established consulting practice, a public website/contact details, and a sizeable audience. Main qualification: determine whether his consulting clients are SMEs/founders and whether he is open to referring specialist work outside his own scope. Potentially a particularly good partner for operations/workforce optimization.</t>
        </is>
      </c>
      <c r="M24" s="2" t="inlineStr">
        <is>
          <t>LinkedIn</t>
        </is>
      </c>
      <c r="N24" s="2" t="inlineStr">
        <is>
          <t>New</t>
        </is>
      </c>
      <c r="O24" s="2" t="inlineStr">
        <is>
          <t>High</t>
        </is>
      </c>
      <c r="P24" s="3" t="inlineStr">
        <is>
          <t>2026-09-09</t>
        </is>
      </c>
      <c r="Q24" s="2" t="inlineStr"/>
      <c r="R24" s="2" t="inlineStr"/>
      <c r="S24" s="2" t="inlineStr"/>
      <c r="T24" s="2" t="inlineStr"/>
      <c r="U24" s="2" t="inlineStr"/>
      <c r="V24" s="2" t="inlineStr"/>
    </row>
    <row r="25">
      <c r="A25" s="2" t="inlineStr">
        <is>
          <t>Ahmed Abdulraheem A.</t>
        </is>
      </c>
      <c r="B25" s="2" t="inlineStr"/>
      <c r="C25" s="2" t="inlineStr">
        <is>
          <t>Business Data Analyst | Freelance Data Analyst | SME Consultant | Microsoft Excel &amp; Power BI</t>
        </is>
      </c>
      <c r="D25" s="2" t="inlineStr">
        <is>
          <t>Business data analysis, SME consulting, Excel, Power BI, reporting, business formalization, compliance support, branding</t>
        </is>
      </c>
      <c r="E25" s="2" t="inlineStr">
        <is>
          <t>Lagos, Nigeria</t>
        </is>
      </c>
      <c r="F25" s="2" t="inlineStr"/>
      <c r="G25" s="2" t="inlineStr"/>
      <c r="H25" s="2" t="inlineStr">
        <is>
          <t>Sol Consult Limited / Business Guide Consulting</t>
        </is>
      </c>
      <c r="I25" s="2" t="inlineStr"/>
      <c r="J25" s="2" t="inlineStr">
        <is>
          <t>2nd-degree; 388 connections; 2 mutual connections; open to work</t>
        </is>
      </c>
      <c r="K25" s="2" t="inlineStr">
        <is>
          <t>Good potential referral partner, but with a significant overlap risk. He already positions himself as a freelance data analyst and SME consultant, so some optimization engagements could compete with his own services. However, his SME consulting/formalization work means he likely encounters business owners who need deeper quantitative decision support beyond dashboards and reporting.</t>
        </is>
      </c>
      <c r="L25" s="2" t="inlineStr">
        <is>
          <t>MEDIUM-HIGH. Worth connecting and qualifying, but do not lead with a generic referral pitch. First establish the boundary between his analytics/SME consulting work and Toledah's Business Analytics &amp; Optimization practice. Stronger if he mainly handles reporting/data tools and can refer strategic quantitative optimization work.</t>
        </is>
      </c>
      <c r="M25" s="2" t="inlineStr">
        <is>
          <t>LinkedIn</t>
        </is>
      </c>
      <c r="N25" s="2" t="inlineStr">
        <is>
          <t>New</t>
        </is>
      </c>
      <c r="O25" s="2" t="inlineStr">
        <is>
          <t>Medium-High</t>
        </is>
      </c>
      <c r="P25" s="3" t="inlineStr">
        <is>
          <t>2026-09-09</t>
        </is>
      </c>
      <c r="Q25" s="2" t="inlineStr"/>
      <c r="R25" s="2" t="inlineStr"/>
      <c r="S25" s="2" t="inlineStr"/>
      <c r="T25" s="2" t="inlineStr"/>
      <c r="U25" s="2" t="inlineStr"/>
      <c r="V25" s="2" t="inlineStr"/>
    </row>
    <row r="26">
      <c r="A26" s="2" t="inlineStr">
        <is>
          <t>Josiah Ramsey Okeleye</t>
        </is>
      </c>
      <c r="B26" s="2" t="inlineStr"/>
      <c r="C26" s="2" t="inlineStr">
        <is>
          <t>Creative Thinker | Business Consultant | Founder, Haisoj Rise</t>
        </is>
      </c>
      <c r="D26" s="2" t="inlineStr">
        <is>
          <t>Business consulting, entrepreneurship, strategy</t>
        </is>
      </c>
      <c r="E26" s="2" t="inlineStr">
        <is>
          <t>Abuja, Nigeria</t>
        </is>
      </c>
      <c r="F26" s="2" t="inlineStr"/>
      <c r="G26" s="2" t="inlineStr"/>
      <c r="H26" s="2" t="inlineStr">
        <is>
          <t>Haisoj Rise</t>
        </is>
      </c>
      <c r="I26" s="2" t="inlineStr"/>
      <c r="J26" s="2" t="inlineStr">
        <is>
          <t>2nd-degree; 316 connections; 425 followers; mutual connections include Landry Duyane and Theorems Group</t>
        </is>
      </c>
      <c r="K26" s="2" t="inlineStr">
        <is>
          <t>Potential referral partner because he explicitly identifies as a business consultant/founder and appears to operate independently. However, the visible profile gives little evidence yet of a substantial SME client base, specific advisory services, or established consulting practice. His activity also appears more thought/idea-oriented than client-service-oriented.</t>
        </is>
      </c>
      <c r="L26" s="2" t="inlineStr">
        <is>
          <t>MEDIUM. Worth connecting, but qualify first. If Haisoj Rise actively serves founders/SMEs, he could be useful; if it is primarily a personal entrepreneurial/creative project, referral potential is limited. Do not prioritize outreach ahead of established consultants, accountants/advisers, or operators with clear client-facing practices.</t>
        </is>
      </c>
      <c r="M26" s="2" t="inlineStr">
        <is>
          <t>LinkedIn</t>
        </is>
      </c>
      <c r="N26" s="2" t="inlineStr">
        <is>
          <t>New</t>
        </is>
      </c>
      <c r="O26" s="2" t="inlineStr">
        <is>
          <t>Medium</t>
        </is>
      </c>
      <c r="P26" s="3" t="inlineStr">
        <is>
          <t>2026-09-09</t>
        </is>
      </c>
      <c r="Q26" s="2" t="inlineStr"/>
      <c r="R26" s="2" t="inlineStr"/>
      <c r="S26" s="2" t="inlineStr"/>
      <c r="T26" s="2" t="inlineStr"/>
      <c r="U26" s="2" t="inlineStr"/>
      <c r="V26" s="2" t="inlineStr"/>
    </row>
    <row r="27">
      <c r="A27" s="2" t="inlineStr">
        <is>
          <t>Adolphus Odo</t>
        </is>
      </c>
      <c r="B27" s="2" t="inlineStr"/>
      <c r="C27" s="2" t="inlineStr">
        <is>
          <t>Senior Sales Manager turned Business Consultant</t>
        </is>
      </c>
      <c r="D27" s="2" t="inlineStr">
        <is>
          <t>Sales strategy, sales process audits, market penetration, territory management, team training, growth consulting, operational optimization</t>
        </is>
      </c>
      <c r="E27" s="2" t="inlineStr">
        <is>
          <t>Abuja, Nigeria</t>
        </is>
      </c>
      <c r="F27" s="2" t="inlineStr"/>
      <c r="G27" s="2" t="inlineStr"/>
      <c r="H27" s="2" t="inlineStr">
        <is>
          <t>SunDOLPH Business and Sales Development Consultancy Services Ltd.</t>
        </is>
      </c>
      <c r="I27" s="2" t="inlineStr"/>
      <c r="J27" s="2" t="inlineStr">
        <is>
          <t>2nd-degree; 438 connections; 561 followers; 1 mutual connection</t>
        </is>
      </c>
      <c r="K27" s="2" t="inlineStr">
        <is>
          <t>Excellent referral-partner candidate. He has 15+ years of hands-on experience in pharmaceutical, food and consumer goods, with leadership in revenue growth, territories, strategic accounts and teams. His new boutique consultancy explicitly serves businesses with sales strategy, market penetration and operational efficiency needs.</t>
        </is>
      </c>
      <c r="L27" s="2" t="inlineStr">
        <is>
          <t>HIGH. Strong complement rather than direct competition: Adolphus can own sales/growth/market-entry problems while referring clients who need deeper quantitative analysis, resource allocation, pricing, forecasting, production/inventory or operational optimization. His industry experience also overlaps well with the kinds of businesses Toledah can serve. Qualify that his consultancy has active SME/business clients and that he is open to specialist referral partnerships.</t>
        </is>
      </c>
      <c r="M27" s="2" t="inlineStr">
        <is>
          <t>LinkedIn</t>
        </is>
      </c>
      <c r="N27" s="2" t="inlineStr">
        <is>
          <t>New</t>
        </is>
      </c>
      <c r="O27" s="2" t="inlineStr">
        <is>
          <t>High</t>
        </is>
      </c>
      <c r="P27" s="3" t="inlineStr">
        <is>
          <t>2026-09-09</t>
        </is>
      </c>
      <c r="Q27" s="2" t="inlineStr"/>
      <c r="R27" s="2" t="inlineStr"/>
      <c r="S27" s="2" t="inlineStr"/>
      <c r="T27" s="2" t="inlineStr"/>
      <c r="U27" s="2" t="inlineStr"/>
      <c r="V27" s="2" t="inlineStr"/>
    </row>
    <row r="28">
      <c r="A28" s="2" t="inlineStr">
        <is>
          <t>Ayodeji John Okunoye</t>
        </is>
      </c>
      <c r="B28" s="2" t="inlineStr">
        <is>
          <t>ayodejiokunoyeng@gmail.com</t>
        </is>
      </c>
      <c r="C28" s="2" t="inlineStr">
        <is>
          <t>Award-winning Success Coach and Business Consultant | Director &amp; Lead Corporate Trainer @ MSI | HR Specialist</t>
        </is>
      </c>
      <c r="D28" s="2" t="inlineStr">
        <is>
          <t>Business coaching, HR, talent recruitment, staff development, performance management, leadership training, project management, corporate training</t>
        </is>
      </c>
      <c r="E28" s="2" t="inlineStr">
        <is>
          <t>Ilorin, Kwara State, Nigeria</t>
        </is>
      </c>
      <c r="F28" s="2" t="inlineStr">
        <is>
          <t>Website shown on LinkedIn</t>
        </is>
      </c>
      <c r="G28" s="2" t="inlineStr"/>
      <c r="H28" s="2" t="inlineStr">
        <is>
          <t>MorningStar Success Institute</t>
        </is>
      </c>
      <c r="I28" s="2" t="inlineStr"/>
      <c r="J28" s="2" t="inlineStr">
        <is>
          <t>2nd-degree; 10,971 followers; 500+ connections; 8+ mutual connections</t>
        </is>
      </c>
      <c r="K28" s="2" t="inlineStr">
        <is>
          <t>Strong referral-partner candidate. He works directly with professionals, businesses and organizations through business coaching, corporate training, HR and performance-development work. His client problems are complementary to quantitative business optimization: he can identify businesses needing stronger decision systems, operational analysis, resource allocation, forecasting, pricing or other analytical work.</t>
        </is>
      </c>
      <c r="L28" s="2" t="inlineStr">
        <is>
          <t>HIGH. Particularly valuable because of his large LinkedIn audience, long-running coaching/consulting activity (since 2019), corporate-training role and access to business professionals. Main qualification question is whether he actively serves SME owners/founders and is open to reciprocal specialist referrals. Less directly aligned than Adolphus on operations/sales, but potentially stronger as a network/referral channel.</t>
        </is>
      </c>
      <c r="M28" s="2" t="inlineStr">
        <is>
          <t>LinkedIn</t>
        </is>
      </c>
      <c r="N28" s="2" t="inlineStr">
        <is>
          <t>New</t>
        </is>
      </c>
      <c r="O28" s="2" t="inlineStr">
        <is>
          <t>High</t>
        </is>
      </c>
      <c r="P28" s="3" t="inlineStr">
        <is>
          <t>2026-09-09</t>
        </is>
      </c>
      <c r="Q28" s="2" t="inlineStr"/>
      <c r="R28" s="2" t="inlineStr"/>
      <c r="S28" s="2" t="inlineStr"/>
      <c r="T28" s="2" t="inlineStr"/>
      <c r="U28" s="2" t="inlineStr"/>
      <c r="V28" s="2" t="inlineStr"/>
    </row>
    <row r="29">
      <c r="A29" s="2" t="inlineStr">
        <is>
          <t>Precious Nwulu</t>
        </is>
      </c>
      <c r="B29" s="2" t="inlineStr"/>
      <c r="C29" s="2" t="inlineStr">
        <is>
          <t>Business Consultant | Business Expert | Recruiter | Business Strategist | Talent Acquisition Expert</t>
        </is>
      </c>
      <c r="D29" s="2" t="inlineStr">
        <is>
          <t>Business strategy, market analysis, business consulting, recruitment, talent acquisition, strategic negotiation, business development</t>
        </is>
      </c>
      <c r="E29" s="2" t="inlineStr">
        <is>
          <t>Lagos, Lagos State, Nigeria</t>
        </is>
      </c>
      <c r="F29" s="2" t="inlineStr"/>
      <c r="G29" s="2" t="inlineStr"/>
      <c r="H29" s="2" t="inlineStr">
        <is>
          <t>RD Consulting</t>
        </is>
      </c>
      <c r="I29" s="2" t="inlineStr"/>
      <c r="J29" s="2" t="inlineStr">
        <is>
          <t>2nd-degree; 6,217 followers; 500+ connections; 10+ mutual connections</t>
        </is>
      </c>
      <c r="K29" s="2" t="inlineStr">
        <is>
          <t>Strong referral-partner candidate. She has operated in consulting for nearly 5 years and explicitly works across business strategy and market analysis. Her positioning suggests direct access to business owners and organizations, while her recruitment/talent background gives her another channel into operating businesses.</t>
        </is>
      </c>
      <c r="L29" s="2" t="inlineStr">
        <is>
          <t>HIGH. The important distinction is that she is not merely a generic 'business consultant' — she has an established consulting practice, substantial audience/network, and nearly 5 years at RD Consulting. Potential overlap with your optimization service exists because of the business strategy/market analysis positioning, so qualify whether she handles implementation/strategy broadly or is willing to refer quantitative/analytical engagements outside her core work. Worth contacting.</t>
        </is>
      </c>
      <c r="M29" s="2" t="inlineStr">
        <is>
          <t>LinkedIn</t>
        </is>
      </c>
      <c r="N29" s="2" t="inlineStr">
        <is>
          <t>New</t>
        </is>
      </c>
      <c r="O29" s="2" t="inlineStr">
        <is>
          <t>High</t>
        </is>
      </c>
      <c r="P29" s="3" t="inlineStr">
        <is>
          <t>2026-09-09</t>
        </is>
      </c>
      <c r="Q29" s="2" t="inlineStr"/>
      <c r="R29" s="2" t="inlineStr"/>
      <c r="S29" s="2" t="inlineStr"/>
      <c r="T29" s="2" t="inlineStr"/>
      <c r="U29" s="2" t="inlineStr"/>
      <c r="V29" s="2" t="inlineStr"/>
    </row>
    <row r="30">
      <c r="A30" s="2" t="inlineStr">
        <is>
          <t>Victor Okoruwa R.Eng (COREN)</t>
        </is>
      </c>
      <c r="B30" s="2" t="inlineStr"/>
      <c r="C30" s="2" t="inlineStr">
        <is>
          <t>Business Operations Consultant | AI Automation &amp; Process Improvement | SOPs | Workflow Design | Data &amp; Reporting</t>
        </is>
      </c>
      <c r="D30" s="2" t="inlineStr">
        <is>
          <t>Business operations, process improvement, SOPs, workflow design, AI automation, n8n/Zapier/Make, Excel &amp; Google Sheets systems, data analysis, KPI tracking, reporting, digital transformation</t>
        </is>
      </c>
      <c r="E30" s="2" t="inlineStr">
        <is>
          <t>Nigeria</t>
        </is>
      </c>
      <c r="F30" s="2" t="inlineStr"/>
      <c r="G30" s="2" t="inlineStr"/>
      <c r="H30" s="2" t="inlineStr">
        <is>
          <t>Veto AI &amp; Systems</t>
        </is>
      </c>
      <c r="I30" s="2" t="inlineStr"/>
      <c r="J30" s="2" t="inlineStr">
        <is>
          <t>2nd-degree; 500+ connections; 1 mutual connection</t>
        </is>
      </c>
      <c r="K30" s="2" t="inlineStr">
        <is>
          <t>Relevant but not a conventional referral-partner prospect. His work is very close to the user's operations/optimization space, but his specialization is process improvement, automation and systems implementation rather than quantitative optimization. This creates a plausible specialist-referral relationship when a client needs mathematical/financial optimization beyond his automation scope.</t>
        </is>
      </c>
      <c r="L30" s="2" t="inlineStr">
        <is>
          <t>MEDIUM. Strong professional fit and potentially valuable peer/collaboration relationship, but substantial service overlap means he should not be prioritized ahead of independent accountants, CFOs, sales consultants or business advisers with clearer client-referral opportunities. Approach as a complementary specialist, not as a generic business-consulting partner.</t>
        </is>
      </c>
      <c r="M30" s="2" t="inlineStr">
        <is>
          <t>LinkedIn</t>
        </is>
      </c>
      <c r="N30" s="2" t="inlineStr">
        <is>
          <t>New</t>
        </is>
      </c>
      <c r="O30" s="2" t="inlineStr">
        <is>
          <t>Medium</t>
        </is>
      </c>
      <c r="P30" s="3" t="inlineStr">
        <is>
          <t>2026-09-09</t>
        </is>
      </c>
      <c r="Q30" s="2" t="inlineStr"/>
      <c r="R30" s="2" t="inlineStr"/>
      <c r="S30" s="2" t="inlineStr"/>
      <c r="T30" s="2" t="inlineStr"/>
      <c r="U30" s="2" t="inlineStr"/>
      <c r="V30" s="2" t="inlineStr"/>
    </row>
    <row r="31">
      <c r="A31" s="2" t="inlineStr">
        <is>
          <t>Bulus (Wash) Maryam</t>
        </is>
      </c>
      <c r="B31" s="2" t="inlineStr">
        <is>
          <t>Ceciliaconsulting</t>
        </is>
      </c>
      <c r="C31" s="2" t="inlineStr">
        <is>
          <t>Business Consultant / Accountant / HR Consultant</t>
        </is>
      </c>
      <c r="D31" s="2" t="inlineStr">
        <is>
          <t>Business consulting, HR consulting, management consulting, project management; company accounting</t>
        </is>
      </c>
      <c r="E31" s="2" t="inlineStr">
        <is>
          <t>Abuja, Federal Capital Territory, Nigeria</t>
        </is>
      </c>
      <c r="F31" s="2" t="n"/>
      <c r="G31" s="2" t="n"/>
      <c r="H31" s="2" t="n"/>
      <c r="I31" s="2" t="n"/>
      <c r="J31" s="2" t="inlineStr">
        <is>
          <t>2nd-degree; 500+ connections; Omorogbe and Prince Shaka mutual connections</t>
        </is>
      </c>
      <c r="K31" s="2" t="inlineStr">
        <is>
          <t>Promising referral-partner profile because she is a CEO of a consulting business and explicitly offers business, HR, management and project-management consulting. Her background includes 2 years in banking operations and current/previous company-accounting work, giving her exposure to business owners and operational/financial issues.</t>
        </is>
      </c>
      <c r="L31" s="2" t="inlineStr">
        <is>
          <t>MEDIUM-HIGH. Potential to encounter SMEs that need deeper quantitative analysis, profitability analysis, resource allocation, inventory/operations optimization or other decisions beyond general management consulting. Best positioned as a complementary consultant/referral relationship rather than a pure accounting referral source.</t>
        </is>
      </c>
      <c r="M31" s="2" t="inlineStr">
        <is>
          <t>LinkedIn</t>
        </is>
      </c>
      <c r="N31" s="2" t="inlineStr">
        <is>
          <t>New</t>
        </is>
      </c>
      <c r="O31" s="2" t="inlineStr">
        <is>
          <t>Medium-High</t>
        </is>
      </c>
      <c r="P31" s="3" t="n">
        <v>46274</v>
      </c>
      <c r="Q31" s="2" t="n"/>
      <c r="R31" s="2" t="n"/>
      <c r="S31" s="2" t="n"/>
      <c r="T31" s="2" t="n"/>
      <c r="U31" s="2" t="inlineStr">
        <is>
          <t>Profile says she worked in Access Bank Gombe operations for 2 years, Startime customer care for 1 year, and is presently working in Danga Homes as HR and company accountant. She is also CEO of Ceciliaconsulting. No recent LinkedIn posts visible, so current client activity is unclear. Qualify whether she actively serves external SME clients before discussing referral terms.</t>
        </is>
      </c>
      <c r="V31" s="2" t="inlineStr">
        <is>
          <t>Both</t>
        </is>
      </c>
    </row>
    <row r="32">
      <c r="A32" s="2" t="n"/>
      <c r="B32" s="2" t="n"/>
      <c r="C32" s="2" t="n"/>
      <c r="D32" s="2" t="n"/>
      <c r="E32" s="2" t="inlineStr">
        <is>
          <t>Lagos, Lagos State, Nigeria</t>
        </is>
      </c>
      <c r="F32" s="2" t="n"/>
      <c r="G32" s="2" t="n"/>
      <c r="H32" s="2" t="n"/>
      <c r="I32" s="2" t="n"/>
      <c r="J32" s="2" t="n"/>
      <c r="K32" s="2" t="n"/>
      <c r="L32" s="2" t="n"/>
      <c r="M32" s="2" t="n"/>
      <c r="N32" s="2" t="inlineStr">
        <is>
          <t>Prospect</t>
        </is>
      </c>
      <c r="O32" s="2" t="inlineStr">
        <is>
          <t>Medium-High</t>
        </is>
      </c>
      <c r="P32" s="3" t="n"/>
      <c r="Q32" s="2" t="n"/>
      <c r="R32" s="2" t="n"/>
      <c r="S32" s="2" t="n"/>
      <c r="T32" s="2" t="n"/>
      <c r="U32" s="2" t="n"/>
      <c r="V32" s="2" t="n"/>
    </row>
    <row r="33">
      <c r="A33" s="2" t="n"/>
      <c r="B33" s="2" t="n"/>
      <c r="C33" s="2" t="n"/>
      <c r="D33" s="2" t="n"/>
      <c r="E33" s="2" t="inlineStr">
        <is>
          <t>Nigeria</t>
        </is>
      </c>
      <c r="F33" s="2" t="n"/>
      <c r="G33" s="2" t="n"/>
      <c r="H33" s="2" t="n"/>
      <c r="I33" s="2" t="n"/>
      <c r="J33" s="2" t="n"/>
      <c r="K33" s="2" t="n"/>
      <c r="L33" s="2" t="n"/>
      <c r="M33" s="2" t="n"/>
      <c r="N33" s="2" t="inlineStr">
        <is>
          <t>Prospect</t>
        </is>
      </c>
      <c r="O33" s="2" t="inlineStr">
        <is>
          <t>Medium</t>
        </is>
      </c>
      <c r="P33" s="3" t="n"/>
      <c r="Q33" s="2" t="n"/>
      <c r="R33" s="2" t="n"/>
      <c r="S33" s="2" t="n"/>
      <c r="T33" s="2" t="n"/>
      <c r="U33" s="2" t="n"/>
      <c r="V33" s="2" t="n"/>
    </row>
    <row r="34">
      <c r="A34" s="2" t="n"/>
      <c r="B34" s="2" t="n"/>
      <c r="C34" s="2" t="n"/>
      <c r="D34" s="2" t="n"/>
      <c r="E34" s="2" t="inlineStr">
        <is>
          <t>Lagos, Lagos State, Nigeria</t>
        </is>
      </c>
      <c r="F34" s="2" t="n"/>
      <c r="G34" s="2" t="n"/>
      <c r="H34" s="2" t="n"/>
      <c r="I34" s="2" t="n"/>
      <c r="J34" s="2" t="n"/>
      <c r="K34" s="2" t="n"/>
      <c r="L34" s="2" t="n"/>
      <c r="M34" s="2" t="n"/>
      <c r="N34" s="2" t="inlineStr">
        <is>
          <t>Prospect</t>
        </is>
      </c>
      <c r="O34" s="2" t="inlineStr">
        <is>
          <t>Medium</t>
        </is>
      </c>
      <c r="P34" s="3" t="n"/>
      <c r="Q34" s="2" t="n"/>
      <c r="R34" s="2" t="n"/>
      <c r="S34" s="2" t="n"/>
      <c r="T34" s="2" t="n"/>
      <c r="U34" s="2" t="n"/>
      <c r="V34" s="2" t="n"/>
    </row>
    <row r="35">
      <c r="A35" s="2" t="n"/>
      <c r="B35" s="2" t="n"/>
      <c r="C35" s="2" t="n"/>
      <c r="D35" s="2" t="n"/>
      <c r="E35" s="2" t="inlineStr">
        <is>
          <t>Abuja, Federal Capital Territory, Nigeria</t>
        </is>
      </c>
      <c r="F35" s="2" t="n"/>
      <c r="G35" s="2" t="n"/>
      <c r="H35" s="2" t="n"/>
      <c r="I35" s="2" t="n"/>
      <c r="J35" s="2" t="n"/>
      <c r="K35" s="2" t="n"/>
      <c r="L35" s="2" t="n"/>
      <c r="M35" s="2" t="n"/>
      <c r="N35" s="2" t="inlineStr">
        <is>
          <t>Prospect</t>
        </is>
      </c>
      <c r="O35" s="2" t="inlineStr">
        <is>
          <t>Medium</t>
        </is>
      </c>
      <c r="P35" s="3" t="n"/>
      <c r="Q35" s="2" t="n"/>
      <c r="R35" s="2" t="n"/>
      <c r="S35" s="2" t="n"/>
      <c r="T35" s="2" t="n"/>
      <c r="U35" s="2" t="n"/>
      <c r="V35" s="2" t="n"/>
    </row>
    <row r="36">
      <c r="A36" s="2" t="n"/>
      <c r="B36" s="2" t="n"/>
      <c r="C36" s="2" t="n"/>
      <c r="D36" s="2" t="n"/>
      <c r="E36" s="2" t="inlineStr">
        <is>
          <t>Lagos State, Nigeria</t>
        </is>
      </c>
      <c r="F36" s="2" t="n"/>
      <c r="G36" s="2" t="n"/>
      <c r="H36" s="2" t="n"/>
      <c r="I36" s="2" t="n"/>
      <c r="J36" s="2" t="n"/>
      <c r="K36" s="2" t="n"/>
      <c r="L36" s="2" t="n"/>
      <c r="M36" s="2" t="n"/>
      <c r="N36" s="2" t="inlineStr">
        <is>
          <t>Prospect</t>
        </is>
      </c>
      <c r="O36" s="2" t="inlineStr">
        <is>
          <t>Low</t>
        </is>
      </c>
      <c r="P36" s="3" t="n"/>
      <c r="Q36" s="2" t="n"/>
      <c r="R36" s="2" t="n"/>
      <c r="S36" s="2" t="n"/>
      <c r="T36" s="2" t="n"/>
      <c r="U36" s="2" t="n"/>
      <c r="V36" s="2" t="n"/>
    </row>
    <row r="37">
      <c r="A37" s="2" t="inlineStr">
        <is>
          <t>Opeyemi Niniola Olayiwola</t>
        </is>
      </c>
      <c r="B37" s="2" t="inlineStr">
        <is>
          <t>Freelance / Top Haven Solutions</t>
        </is>
      </c>
      <c r="C37" s="2" t="inlineStr">
        <is>
          <t>CAC / Business Registration Consultant</t>
        </is>
      </c>
      <c r="D37" s="2" t="inlineStr">
        <is>
          <t>Business registration, company incorporation, CAC compliance; entrepreneurs, startups and SMEs</t>
        </is>
      </c>
      <c r="E37" s="2" t="inlineStr">
        <is>
          <t>Lagos, Lagos State, Nigeria</t>
        </is>
      </c>
      <c r="F37" s="2" t="n"/>
      <c r="G37" s="2" t="n"/>
      <c r="H37" s="2" t="n"/>
      <c r="I37" s="2" t="inlineStr">
        <is>
          <t>08084121747</t>
        </is>
      </c>
      <c r="J37" s="2" t="n"/>
      <c r="K37" s="2" t="inlineStr">
        <is>
          <t>Excellent Zaena referral-partner prospect because she explicitly serves entrepreneurs, startups and SMEs at the point of business formation and ongoing compliance. Her work puts her directly in contact with business owners who will need systems for sales, inventory, finances, staff and day-to-day operations after registration.</t>
        </is>
      </c>
      <c r="L37" s="2" t="inlineStr">
        <is>
          <t>Very strong potential to refer newly registered and growing businesses to Zaena as the operational system they use after formalizing the business. The relationship can be positioned as a natural next step after CAC registration rather than a generic software referral.</t>
        </is>
      </c>
      <c r="M37" s="2" t="inlineStr">
        <is>
          <t>LinkedIn</t>
        </is>
      </c>
      <c r="N37" s="2" t="inlineStr">
        <is>
          <t>New</t>
        </is>
      </c>
      <c r="O37" s="2" t="inlineStr">
        <is>
          <t>High</t>
        </is>
      </c>
      <c r="P37" s="3" t="n">
        <v>46274</v>
      </c>
      <c r="Q37" s="2" t="n"/>
      <c r="R37" s="2" t="n"/>
      <c r="S37" s="2" t="n"/>
      <c r="T37" s="2" t="n"/>
      <c r="U37" s="2" t="inlineStr">
        <is>
          <t>Qualify her actual client volume and whether she is open to formal referral arrangements. Profile shows 353 connections and a freelance Business Consultant role since Aug 2023. Her profile/about also identifies her as a startup consultant and business registration expert. Top Haven Solutions promotional material shows active trademark/business-services marketing and a WhatsApp contact.</t>
        </is>
      </c>
      <c r="V37" s="2" t="inlineStr">
        <is>
          <t>Zaena</t>
        </is>
      </c>
    </row>
    <row r="38">
      <c r="A38" s="2" t="inlineStr">
        <is>
          <t>Oluwatobiloba Olatoye</t>
        </is>
      </c>
      <c r="B38" s="2" t="inlineStr">
        <is>
          <t>Dear Ayoka / Freelance</t>
        </is>
      </c>
      <c r="C38" s="2" t="inlineStr">
        <is>
          <t>Business Strategist / Business Development Consultant</t>
        </is>
      </c>
      <c r="D38" s="2" t="inlineStr">
        <is>
          <t>Business strategy, business plans, feasibility studies, market validation, digital visibility, social media management; startups and growing businesses</t>
        </is>
      </c>
      <c r="E38" s="2" t="inlineStr">
        <is>
          <t>Nigeria</t>
        </is>
      </c>
      <c r="F38" s="2" t="n"/>
      <c r="G38" s="2" t="n"/>
      <c r="H38" s="2" t="inlineStr">
        <is>
          <t>oluwatobilobolatoye@gmail.com</t>
        </is>
      </c>
      <c r="I38" s="2" t="n"/>
      <c r="J38" s="2" t="n"/>
      <c r="K38" s="2" t="inlineStr">
        <is>
          <t>Excellent cross-over prospect. He works directly with startups and growing businesses and has delivered 200+ business documents, including business plans, feasibility studies, proposals and investor-ready decks. His work is explicitly about moving businesses from ideas to structured, visible and profitable ventures.</t>
        </is>
      </c>
      <c r="L38" s="2" t="inlineStr">
        <is>
          <t>Strong Zaena opportunity: businesses he helps structure and launch will need an operational system for sales, inventory, finance, customers and day-to-day management. Also a good Optimization referral partner because his strategy/market-validation work can surface deeper profitability, resource-allocation, pricing or operational problems that require quantitative analysis.</t>
        </is>
      </c>
      <c r="M38" s="2" t="inlineStr">
        <is>
          <t>LinkedIn</t>
        </is>
      </c>
      <c r="N38" s="2" t="inlineStr">
        <is>
          <t>New</t>
        </is>
      </c>
      <c r="O38" s="2" t="inlineStr">
        <is>
          <t>High</t>
        </is>
      </c>
      <c r="P38" s="3" t="n">
        <v>46274</v>
      </c>
      <c r="Q38" s="2" t="n"/>
      <c r="R38" s="2" t="n"/>
      <c r="S38" s="2" t="n"/>
      <c r="T38" s="2" t="n"/>
      <c r="U38" s="2" t="inlineStr">
        <is>
          <t>8+ years across business strategy, communication and digital visibility. Business Development Consultant at Sam&amp;Wright Consulting (2018–2025) and freelance Business Strategist since 2021. 7,994 followers and 500+ connections, plus 4 mutual connections. Operates under Dear Ayoka. Stronger than a generic business consultant because he has an established client-facing practice and substantial audience/network.</t>
        </is>
      </c>
      <c r="V38" s="2" t="inlineStr">
        <is>
          <t>Both</t>
        </is>
      </c>
    </row>
    <row r="39">
      <c r="A39" s="2" t="inlineStr">
        <is>
          <t>Chinenye Nwali</t>
        </is>
      </c>
      <c r="B39" s="2" t="n"/>
      <c r="C39" s="2" t="inlineStr">
        <is>
          <t>Founder &amp; Principal Consultant @ Brill Professional Services | FCCA, FCTI, ACA, PMP</t>
        </is>
      </c>
      <c r="D39" s="2" t="inlineStr">
        <is>
          <t>Corporate finance, business strategy, taxation, financial reporting, governance, regulatory compliance, financial analysis, accounting</t>
        </is>
      </c>
      <c r="E39" s="2" t="inlineStr">
        <is>
          <t>Nigeria</t>
        </is>
      </c>
      <c r="F39" s="2" t="n"/>
      <c r="G39" s="2" t="n"/>
      <c r="H39" s="2" t="n"/>
      <c r="I39" s="2" t="n"/>
      <c r="J39" s="2" t="inlineStr">
        <is>
          <t>2 mutual connections</t>
        </is>
      </c>
      <c r="K39" s="2" t="inlineStr">
        <is>
          <t>Extremely strong Optimization fit: she advises entrepreneurs, SMEs and growing organizations on finance and business matters and has deep finance/accounting credentials. However, she should be treated as a potential partner/referral source rather than simply another prospect.</t>
        </is>
      </c>
      <c r="L39" s="2" t="inlineStr">
        <is>
          <t>Strong Zaena fit despite overlap. Her SME clients likely need bookkeeping/accounting, financial records, reporting, cash-flow visibility and operational controls—the exact data foundation Zaena can provide. Zaena can also make her advisory work easier by giving clients cleaner transaction records and business reports. Position Zaena as infrastructure that supports her advisory practice, not as a replacement for her expertise. Because her firm already provides accounting/finance services, qualify whether she would use/recommend software to clients and whether she serves businesses that need POS/inventory as well as accounting.</t>
        </is>
      </c>
      <c r="M39" s="2" t="inlineStr">
        <is>
          <t>LinkedIn</t>
        </is>
      </c>
      <c r="N39" s="2" t="inlineStr">
        <is>
          <t>New</t>
        </is>
      </c>
      <c r="O39" s="2" t="inlineStr">
        <is>
          <t>High</t>
        </is>
      </c>
      <c r="P39" s="3" t="n">
        <v>46274</v>
      </c>
      <c r="Q39" s="2" t="n"/>
      <c r="R39" s="2" t="n"/>
      <c r="S39" s="2" t="n"/>
      <c r="T39" s="2" t="n"/>
      <c r="U39" s="2" t="inlineStr">
        <is>
          <t>Best approached as a peer/strategic partner. There is substantial service overlap with Evans' Business Analytics &amp; Optimization, so avoid leading with 'I do the same thing'; lead with complementary infrastructure: Zaena for the operational/financial records her SME clients need, with Optimization available for problems outside routine accounting/advisory.</t>
        </is>
      </c>
      <c r="V39" s="2" t="inlineStr">
        <is>
          <t>Both</t>
        </is>
      </c>
    </row>
    <row r="40">
      <c r="A40" s="2" t="inlineStr">
        <is>
          <t>Sarah Ndidi Ohiembor</t>
        </is>
      </c>
      <c r="B40" s="2" t="n"/>
      <c r="C40" s="2" t="inlineStr">
        <is>
          <t>Legal Counsel II | Business + Trademark IP Lawyer | Corporate, Real Property Attorney | Business Coach</t>
        </is>
      </c>
      <c r="D40" s="2" t="inlineStr">
        <is>
          <t>Business law, corporate law, trademark/IP, legal/business consulting, business coaching, contract/legal advisory</t>
        </is>
      </c>
      <c r="E40" s="2" t="inlineStr">
        <is>
          <t>Effurun, Delta State, Nigeria</t>
        </is>
      </c>
      <c r="F40" s="2" t="n"/>
      <c r="G40" s="2" t="n"/>
      <c r="H40" s="2" t="inlineStr">
        <is>
          <t>Real Time Legal Solutions</t>
        </is>
      </c>
      <c r="I40" s="2" t="n"/>
      <c r="J40" s="2" t="inlineStr">
        <is>
          <t>5 mutual connections; UNIBEN overlap</t>
        </is>
      </c>
      <c r="K40" s="2" t="inlineStr">
        <is>
          <t>Strong Zaena fit as a referral/strategic partner: she serves individuals and businesses, runs a law firm, and has business consulting/coaching exposure. Lawyers handling company formation, contracts and ongoing business advisory can encounter SMEs that need a proper operating/record-keeping system.</t>
        </is>
      </c>
      <c r="L40" s="2" t="inlineStr">
        <is>
          <t>Zaena: High-Medium. Especially valuable because legal advisers often sit close to businesses at formation and restructuring stages, when introducing business-management software is natural. Her company/business consulting ecosystem could create recurring referrals. Optimization: Medium; she has business consulting/coaching exposure but her core expertise is legal rather than quantitative business analysis. Approach as a complementary business infrastructure partner, not as a replacement for legal services.</t>
        </is>
      </c>
      <c r="M40" s="2" t="inlineStr">
        <is>
          <t>LinkedIn</t>
        </is>
      </c>
      <c r="N40" s="2" t="inlineStr">
        <is>
          <t>New</t>
        </is>
      </c>
      <c r="O40" s="2" t="inlineStr">
        <is>
          <t>High</t>
        </is>
      </c>
      <c r="P40" s="3" t="n">
        <v>46274</v>
      </c>
      <c r="Q40" s="2" t="n"/>
      <c r="R40" s="2" t="n"/>
      <c r="S40" s="2" t="n"/>
      <c r="T40" s="2" t="n"/>
      <c r="U40" s="2" t="inlineStr">
        <is>
          <t>Best angle: 'You help businesses get legally structured and protected; Zaena helps them stay operationally structured once they start doing business.' Ask whether clients ever need sales, inventory, expense, customer and financial record-keeping after incorporation/engagement.</t>
        </is>
      </c>
      <c r="V40" s="2" t="inlineStr">
        <is>
          <t>Zaena</t>
        </is>
      </c>
    </row>
    <row r="41">
      <c r="A41" s="2" t="inlineStr">
        <is>
          <t>Christopher (Osaretin) Osifo</t>
        </is>
      </c>
      <c r="B41" s="2" t="n"/>
      <c r="C41" s="2" t="inlineStr">
        <is>
          <t>Business Operations &amp; Efficiency Consultant | Helping companies organize operations using Prokip</t>
        </is>
      </c>
      <c r="D41" s="2" t="inlineStr">
        <is>
          <t>Business operations, operational efficiency, staff accountability, management systems, ERP implementation/sales</t>
        </is>
      </c>
      <c r="E41" s="2" t="inlineStr">
        <is>
          <t>Benin City, Edo State, Nigeria</t>
        </is>
      </c>
      <c r="F41" s="2" t="n"/>
      <c r="G41" s="2" t="n"/>
      <c r="H41" s="2" t="inlineStr">
        <is>
          <t>Prokip Africa</t>
        </is>
      </c>
      <c r="I41" s="2" t="n"/>
      <c r="J41" s="2" t="inlineStr">
        <is>
          <t>3 mutual connections</t>
        </is>
      </c>
      <c r="K41" s="2" t="inlineStr">
        <is>
          <t>Medium Optimization fit: his positioning is directly around business operations and efficiency, so he understands the kind of operational problems that can lead to deeper analytical/optimization work. However, he is already an ERP/management-system provider, making the relationship potentially competitive.</t>
        </is>
      </c>
      <c r="L41" s="2" t="inlineStr">
        <is>
          <t>Zaena: Low as a referral target because he is actively selling/representing Prokip, which appears to occupy the business-management/ERP space. Optimization: Medium. He may encounter clients whose problems go beyond system implementation into pricing, resource allocation, inventory decisions, process economics, forecasting, or profitability analysis. Best treated as a possible complementary partner only if he sees a clear boundary between his system implementation work and Evans' quantitative optimization work.</t>
        </is>
      </c>
      <c r="M41" s="2" t="inlineStr">
        <is>
          <t>LinkedIn</t>
        </is>
      </c>
      <c r="N41" s="2" t="inlineStr">
        <is>
          <t>New</t>
        </is>
      </c>
      <c r="O41" s="2" t="inlineStr">
        <is>
          <t>Medium</t>
        </is>
      </c>
      <c r="P41" s="3" t="n">
        <v>46274</v>
      </c>
      <c r="Q41" s="2" t="n"/>
      <c r="R41" s="2" t="n"/>
      <c r="S41" s="2" t="n"/>
      <c r="T41" s="2" t="n"/>
      <c r="U41" s="2" t="inlineStr">
        <is>
          <t>Do not pitch Zaena first. If contacted, frame Evans' Optimization practice as the analytical layer for difficult decisions that software alone cannot solve. Qualify whether he serves clients with needs such as pricing, production mix, inventory optimization, cost reduction or forecasting.</t>
        </is>
      </c>
      <c r="V41" s="2" t="inlineStr">
        <is>
          <t>Optimization</t>
        </is>
      </c>
    </row>
    <row r="42">
      <c r="A42" s="2" t="inlineStr">
        <is>
          <t>Temiloluwa Awoyinka</t>
        </is>
      </c>
      <c r="B42" s="2" t="n"/>
      <c r="C42" s="2" t="inlineStr">
        <is>
          <t>Author | Lawyer | Business Consultant | Head @the2CBC</t>
        </is>
      </c>
      <c r="D42" s="2" t="inlineStr">
        <is>
          <t>Business consulting, digital business branding, marketing, management, management consulting, SEO</t>
        </is>
      </c>
      <c r="E42" s="2" t="inlineStr">
        <is>
          <t>Lagos State, Nigeria</t>
        </is>
      </c>
      <c r="F42" s="2" t="inlineStr">
        <is>
          <t>https://temiloluwa.world</t>
        </is>
      </c>
      <c r="G42" s="2" t="n"/>
      <c r="H42" s="2" t="inlineStr">
        <is>
          <t>21st Century Business Consults</t>
        </is>
      </c>
      <c r="I42" s="2" t="n"/>
      <c r="J42" s="2" t="inlineStr">
        <is>
          <t>3 mutual connections</t>
        </is>
      </c>
      <c r="K42" s="2" t="inlineStr">
        <is>
          <t>Strong Zaena fit: he runs a business consultancy serving businesses and combines business management with digital branding/marketing. This puts him close to SME owners who may need business-management software. Stronger as a Zaena prospect than as an Optimization referral partner.</t>
        </is>
      </c>
      <c r="L42" s="2" t="inlineStr">
        <is>
          <t>Zaena: HIGH. He has run a business consultancy since 2018 and appears to work with businesses on digital business branding, marketing and management. A consultant with direct SME relationships can potentially recommend Zaena when clients need operational structure, sales/inventory records, and business management infrastructure. Optimization: Medium. His consulting background and management-consulting experience create some overlap, but the profile provides less evidence of quantitative/analytical optimization than of branding, marketing and business management.</t>
        </is>
      </c>
      <c r="M42" s="2" t="inlineStr">
        <is>
          <t>LinkedIn</t>
        </is>
      </c>
      <c r="N42" s="2" t="inlineStr">
        <is>
          <t>New</t>
        </is>
      </c>
      <c r="O42" s="2" t="inlineStr">
        <is>
          <t>High</t>
        </is>
      </c>
      <c r="P42" s="3" t="n">
        <v>46274</v>
      </c>
      <c r="Q42" s="2" t="n"/>
      <c r="R42" s="2" t="n"/>
      <c r="S42" s="2" t="n"/>
      <c r="T42" s="2" t="n"/>
      <c r="U42" s="2" t="inlineStr">
        <is>
          <t>Good candidate for a Zaena partnership conversation. Lead with Zaena as infrastructure for the businesses he already advises, not as a replacement for his consulting work. Qualify whether his clients are SMEs with inventory, sales, staff, or financial-management needs.</t>
        </is>
      </c>
      <c r="V42" s="2" t="inlineStr">
        <is>
          <t>Zaena</t>
        </is>
      </c>
    </row>
    <row r="43">
      <c r="A43" s="2" t="inlineStr">
        <is>
          <t>Joy Kennedy</t>
        </is>
      </c>
      <c r="B43" s="2" t="n"/>
      <c r="C43" s="2" t="inlineStr">
        <is>
          <t>Business &amp; IT Consultant | Problem Solver | Strategy &amp; Growth Enthusiast</t>
        </is>
      </c>
      <c r="D43" s="2" t="inlineStr">
        <is>
          <t>Business consulting, business optimization, strategy, data analysis, digital transformation, operational efficiency</t>
        </is>
      </c>
      <c r="E43" s="2" t="inlineStr">
        <is>
          <t>Lagos State, Nigeria</t>
        </is>
      </c>
      <c r="F43" s="2" t="n"/>
      <c r="G43" s="2" t="n"/>
      <c r="H43" s="2" t="n"/>
      <c r="I43" s="2" t="n"/>
      <c r="J43" s="2" t="inlineStr">
        <is>
          <t>500+ connections</t>
        </is>
      </c>
      <c r="K43" s="2" t="inlineStr">
        <is>
          <t>Potentially relevant to both Zaena and Optimization, but the profile appears early-career and does not yet show an established client-facing consulting practice or a clear SME client base.</t>
        </is>
      </c>
      <c r="L43" s="2" t="inlineStr">
        <is>
          <t>Zaena: MEDIUM. The business/IT consulting positioning and interest in operational efficiency make Zaena relevant, but there is limited evidence of an established network of SME clients or current consulting engagements. Optimization: MEDIUM. Strong thematic alignment with business optimization, data insights, strategy and operational efficiency, but the profile does not demonstrate enough depth or independent client work to make her a priority referral partner yet.</t>
        </is>
      </c>
      <c r="M43" s="2" t="inlineStr">
        <is>
          <t>LinkedIn</t>
        </is>
      </c>
      <c r="N43" s="2" t="inlineStr">
        <is>
          <t>New</t>
        </is>
      </c>
      <c r="O43" s="2" t="inlineStr">
        <is>
          <t>Medium</t>
        </is>
      </c>
      <c r="P43" s="3" t="n">
        <v>46274</v>
      </c>
      <c r="Q43" s="2" t="n"/>
      <c r="R43" s="2" t="n"/>
      <c r="S43" s="2" t="n"/>
      <c r="T43" s="2" t="n"/>
      <c r="U43" s="2" t="inlineStr">
        <is>
          <t>Worth connecting and potentially nurturing. Do not prioritize ahead of established consultants/accountants/CFOs with demonstrable SME clients. Reassess if she develops a clearer consulting practice or client portfolio.</t>
        </is>
      </c>
      <c r="V43" s="2" t="inlineStr">
        <is>
          <t>Zaena + Optimization</t>
        </is>
      </c>
    </row>
    <row r="44">
      <c r="A44" s="2" t="inlineStr">
        <is>
          <t>Amarachi Stanley-Duru</t>
        </is>
      </c>
      <c r="B44" s="2" t="inlineStr">
        <is>
          <t>Marach Consult Limited</t>
        </is>
      </c>
      <c r="C44" s="2" t="inlineStr">
        <is>
          <t>Business Process Improvement Consultant | Organizational Transformation Strategist | Digital Transformation</t>
        </is>
      </c>
      <c r="D44" s="2" t="inlineStr">
        <is>
          <t>Business process improvement, organizational transformation, digital transformation, finance management systems, workflow redesign, governance, risk management, KPIs/reporting</t>
        </is>
      </c>
      <c r="E44" s="2" t="inlineStr">
        <is>
          <t>Nigeria</t>
        </is>
      </c>
      <c r="F44" s="2" t="n"/>
      <c r="G44" s="2" t="n"/>
      <c r="H44" s="2" t="n"/>
      <c r="I44" s="2" t="n"/>
      <c r="J44" s="2" t="inlineStr">
        <is>
          <t>500+ connections; 3,201 followers; mutual connections</t>
        </is>
      </c>
      <c r="K44" s="2" t="inlineStr">
        <is>
          <t>Exceptional overlap with the target partner profile: an established independent consultant who has spent years helping organizations redesign processes, build management systems, and improve performance across finance, oil &amp; gas, education, retail, healthcare, tech startups, agro-allied and social enterprises.</t>
        </is>
      </c>
      <c r="L44" s="2" t="inlineStr">
        <is>
          <t>Zaena: HIGH — her digital transformation/process-systems work creates a natural opening for recommending business management software to SMEs and growing organizations, provided she is not tied to another competing platform. Optimization: HIGH — she is close enough to the problem to understand when a client needs deeper quantitative analysis/optimization beyond process redesign. She is a potential referral partner rather than merely a prospect for direct client acquisition.</t>
        </is>
      </c>
      <c r="M44" s="2" t="inlineStr">
        <is>
          <t>LinkedIn</t>
        </is>
      </c>
      <c r="N44" s="2" t="inlineStr">
        <is>
          <t>New</t>
        </is>
      </c>
      <c r="O44" s="2" t="inlineStr">
        <is>
          <t>High</t>
        </is>
      </c>
      <c r="P44" s="3" t="n">
        <v>46274</v>
      </c>
      <c r="Q44" s="2" t="n"/>
      <c r="R44" s="2" t="n"/>
      <c r="S44" s="2" t="n"/>
      <c r="T44" s="2" t="inlineStr">
        <is>
          <t>Connect/message. Lead with complementarity, not competition: Zaena provides operational/business-management infrastructure; Evans/Toledah can handle quantitative analytics and optimization where a client's problem requires deeper analysis. Qualify whether she currently recommends/implements business software and whether she accepts referral partnerships.</t>
        </is>
      </c>
      <c r="U44" s="2" t="inlineStr">
        <is>
          <t>Very strong candidate. Direct service overlap means positioning matters: do not pitch as 'I also do process improvement.' Pitch the quantitative decision/optimization layer and Zaena as a software infrastructure option.</t>
        </is>
      </c>
      <c r="V44" s="2" t="inlineStr">
        <is>
          <t>Zaena + Optimization</t>
        </is>
      </c>
    </row>
    <row r="45">
      <c r="A45" t="inlineStr">
        <is>
          <t>Adanma Awolo</t>
        </is>
      </c>
      <c r="B45" t="inlineStr">
        <is>
          <t>BRS Wig Academy</t>
        </is>
      </c>
      <c r="C45" t="inlineStr">
        <is>
          <t>Business Studies &amp; Vocational Educator | Hair Business Consultant | Founder, BRS Wig Academy | Product Management Certified</t>
        </is>
      </c>
      <c r="D45" t="inlineStr">
        <is>
          <t>Hair/wig business consulting, vocational training, product management, entrepreneurship education</t>
        </is>
      </c>
      <c r="E45" t="inlineStr">
        <is>
          <t>Lagos State, Nigeria</t>
        </is>
      </c>
      <c r="I45" t="inlineStr">
        <is>
          <t>07884724721</t>
        </is>
      </c>
      <c r="J45" t="inlineStr">
        <is>
          <t>UNIBEN overlap; 7+ mutual connections; 464 connections</t>
        </is>
      </c>
      <c r="K45" t="inlineStr">
        <is>
          <t>Relevant Zaena prospect because she operates a real service/education business and explicitly works as a hair business consultant, teaching entrepreneurs how to source materials, design products and manage services. The strongest fit is as a potential Zaena user/use-case rather than a high-volume referral partner.</t>
        </is>
      </c>
      <c r="L45" t="inlineStr">
        <is>
          <t>Zaena: MEDIUM-HIGH — Zaena's Services and Service Orders can support the consulting/training side of her business, while products/inventory, customers, expenses and payments could support the operational side of a hair/wig business. Her students and workshop participants are also a possible future customer/referral pool, especially if they run small businesses. Optimization: LOW-MEDIUM — some business/process questions may fit, but the profile does not show enough evidence of quantitative decision-analysis work or an established consulting client base for optimization referrals.</t>
        </is>
      </c>
      <c r="M45" t="inlineStr">
        <is>
          <t>LinkedIn</t>
        </is>
      </c>
      <c r="N45" t="inlineStr">
        <is>
          <t>New</t>
        </is>
      </c>
      <c r="O45" t="inlineStr">
        <is>
          <t>Medium</t>
        </is>
      </c>
      <c r="P45" s="8" t="n">
        <v>46274</v>
      </c>
      <c r="T45" t="inlineStr">
        <is>
          <t>Potentially a useful beauty/hair-business vertical entry point for Zaena. Better approached as a conversation about how Zaena handles service businesses + product/inventory hybrids, not as an optimization partner first.</t>
        </is>
      </c>
      <c r="U45" t="inlineStr">
        <is>
          <t>Good direct-product prospect and possible future referral source through her students/entrepreneurs; qualify whether she manages a client roster beyond her academy.</t>
        </is>
      </c>
    </row>
    <row r="46">
      <c r="A46" t="inlineStr">
        <is>
          <t>Praise Adaeze Okechukwu</t>
        </is>
      </c>
      <c r="B46" t="inlineStr">
        <is>
          <t>Pruning Hub / Marach Consult Limited</t>
        </is>
      </c>
      <c r="C46" t="inlineStr">
        <is>
          <t>Business Consultant | Structure Maven | Brand Positioning &amp; Digital Influence Strategist</t>
        </is>
      </c>
      <c r="D46" t="inlineStr">
        <is>
          <t>Business structuring, business process improvement, organizational transformation, brand strategy, strategic communication, digital visibility, finance management systems, workflow redesign, governance, risk management, KPIs/reporting</t>
        </is>
      </c>
      <c r="E46" t="inlineStr">
        <is>
          <t>Enugu State, Nigeria</t>
        </is>
      </c>
      <c r="J46" t="inlineStr">
        <is>
          <t>500+ connections; 3,347 followers; 3 mutual connections</t>
        </is>
      </c>
      <c r="K46" t="inlineStr">
        <is>
          <t>Established independent consultant with a consulting practice spanning business structuring, process improvement and organizational systems. Her profile explicitly says she works with entrepreneurs, founders and organizations, and she has experience with finance management systems, workflow redesign, governance, risk management, KPIs and reporting systems. This gives her both access to relevant business owners and a strong understanding of adjacent business problems.</t>
        </is>
      </c>
      <c r="L46" t="inlineStr">
        <is>
          <t>Zaena: HIGH — her process/organizational transformation work creates a natural opportunity to recommend business-management infrastructure to clients, subject to whether she already implements another platform. Optimization: HIGH — her consulting work is complementary to quantitative business analysis and optimization; she can identify clients whose problems require deeper analysis, while Toledah can refer clients needing structuring, positioning or transformation support. Strong potential for reciprocal referrals.</t>
        </is>
      </c>
      <c r="M46" t="inlineStr">
        <is>
          <t>LinkedIn</t>
        </is>
      </c>
      <c r="N46" t="inlineStr">
        <is>
          <t>New</t>
        </is>
      </c>
      <c r="O46" t="inlineStr">
        <is>
          <t>High</t>
        </is>
      </c>
      <c r="P46" s="8" t="n">
        <v>46274</v>
      </c>
      <c r="T46" t="inlineStr">
        <is>
          <t>Connect/message. Lead with complementarity rather than competition: Toledah adds a quantitative decision/optimization layer and Zaena provides business-management infrastructure. Qualify her client base, current software partnerships, and openness to referral collaboration.</t>
        </is>
      </c>
      <c r="U46" t="inlineStr">
        <is>
          <t>One of the strongest prospects found so far. She has an established consulting practice, direct access to entrepreneurs/founders, and unusually close thematic overlap with both Zaena and the Optimization service. Position carefully because there is some process-improvement overlap.</t>
        </is>
      </c>
      <c r="V46" t="inlineStr">
        <is>
          <t>Zaena + Optimization</t>
        </is>
      </c>
    </row>
    <row r="47">
      <c r="A47" t="inlineStr">
        <is>
          <t>mgbolu (Valentine) Rita</t>
        </is>
      </c>
      <c r="C47" t="inlineStr">
        <is>
          <t>Business Consultant MD</t>
        </is>
      </c>
      <c r="D47" t="inlineStr">
        <is>
          <t>Business Consulting</t>
        </is>
      </c>
      <c r="E47" t="inlineStr">
        <is>
          <t>Federal Capital Territory, Nigeria</t>
        </is>
      </c>
      <c r="K47" t="inlineStr">
        <is>
          <t>Self-employed business consultant; potentially useful as a referral/network partner.</t>
        </is>
      </c>
      <c r="L47" t="inlineStr">
        <is>
          <t>Profile is sparse: self-employed consultant with 2,552 followers and 500+ connections, but no clear specialization, services, or client profile visible. Keep as a lower-confidence prospect.</t>
        </is>
      </c>
      <c r="M47" t="inlineStr">
        <is>
          <t>LinkedIn</t>
        </is>
      </c>
      <c r="N47" t="inlineStr">
        <is>
          <t>Not Contacted</t>
        </is>
      </c>
      <c r="O47" t="inlineStr">
        <is>
          <t>Low</t>
        </is>
      </c>
      <c r="P47" t="inlineStr">
        <is>
          <t>2026-09-09</t>
        </is>
      </c>
    </row>
    <row r="48">
      <c r="A48" t="inlineStr">
        <is>
          <t>Ogochukwu Sharon</t>
        </is>
      </c>
      <c r="C48" t="inlineStr">
        <is>
          <t>Administrative &amp; Executive Assistant | Data Analyst | Operations Support</t>
        </is>
      </c>
      <c r="D48" t="inlineStr">
        <is>
          <t>Administrative Support, Data Analysis, Operations Support, CRM</t>
        </is>
      </c>
      <c r="E48" t="inlineStr">
        <is>
          <t>Delta State, Nigeria</t>
        </is>
      </c>
      <c r="J48" t="inlineStr">
        <is>
          <t>5 mutual connections; University of Benin overlap</t>
        </is>
      </c>
      <c r="K48" t="inlineStr">
        <is>
          <t>Potentially useful as an operations/data contact, but not a strong referral-partner fit. Her profile is oriented toward employment as an Executive Assistant, Administrative Professional, or Data Analyst rather than serving business-owner clients independently.</t>
        </is>
      </c>
      <c r="L48" t="inlineStr">
        <is>
          <t>Good operational/analytical skill overlap with Zaena, but weak evidence of a client base or consulting practice that could generate referrals. More suitable to keep in the wider network than prioritize for the referral program.</t>
        </is>
      </c>
      <c r="M48" t="inlineStr">
        <is>
          <t>LinkedIn</t>
        </is>
      </c>
      <c r="N48" t="inlineStr">
        <is>
          <t>Not Contacted</t>
        </is>
      </c>
      <c r="O48" t="inlineStr">
        <is>
          <t>Low</t>
        </is>
      </c>
      <c r="P48" t="inlineStr">
        <is>
          <t>2026-09-09</t>
        </is>
      </c>
    </row>
    <row r="49">
      <c r="A49" t="inlineStr">
        <is>
          <t>Jahmaicca Lawrence</t>
        </is>
      </c>
      <c r="B49" t="inlineStr">
        <is>
          <t>theoddcity@gmail.com</t>
        </is>
      </c>
      <c r="C49" t="inlineStr">
        <is>
          <t>Strategy Consultant and Business Analyst | Creativity and Productivity</t>
        </is>
      </c>
      <c r="D49" t="inlineStr">
        <is>
          <t>Business Advisory &amp; Consulting, Growth Strategy, Resource Management, Strategic Planning, Corporate Development, Brand &amp; Project Management</t>
        </is>
      </c>
      <c r="E49" t="inlineStr">
        <is>
          <t>Lagos, Nigeria</t>
        </is>
      </c>
      <c r="J49" t="inlineStr">
        <is>
          <t>1 mutual connection; 500+ connections; active consulting profile</t>
        </is>
      </c>
      <c r="K49" t="inlineStr">
        <is>
          <t>Strong referral-partner candidate: already works directly in business strategy/advisory and consulting, helps organizations solve business and strategy problems, and serves businesses through The Odd Consult.</t>
        </is>
      </c>
      <c r="L49" t="inlineStr">
        <is>
          <t>Very strong adjacency to Business Analytics &amp; Optimization. She is already positioned around business problems, growth strategy, resource allocation/management and strategic planning, so optimization can complement rather than compete with her core offer. Best to approach as a peer/partner and explore reciprocal referrals.</t>
        </is>
      </c>
      <c r="M49" t="inlineStr">
        <is>
          <t>LinkedIn</t>
        </is>
      </c>
      <c r="N49" t="inlineStr">
        <is>
          <t>Not Contacted</t>
        </is>
      </c>
      <c r="O49" t="inlineStr">
        <is>
          <t>High</t>
        </is>
      </c>
      <c r="P49" t="inlineStr">
        <is>
          <t>2026-09-09</t>
        </is>
      </c>
    </row>
    <row r="50">
      <c r="A50" t="inlineStr">
        <is>
          <t>Esther (Ada) Udeji, ACIB</t>
        </is>
      </c>
      <c r="C50" t="inlineStr">
        <is>
          <t>Wealth Manager | Business Development Manager | Financial Advisor | MBA</t>
        </is>
      </c>
      <c r="D50" t="inlineStr">
        <is>
          <t>Financial Advisory, Financial Planning, Business Development, Market Research, Strategic Planning, Customer Acquisition, Relationship Management</t>
        </is>
      </c>
      <c r="E50" t="inlineStr">
        <is>
          <t>Lagos, Nigeria</t>
        </is>
      </c>
      <c r="J50" t="inlineStr">
        <is>
          <t>5 mutual connections; 500+ connections</t>
        </is>
      </c>
      <c r="K50" t="inlineStr">
        <is>
          <t>Potential referral partner because she has direct relationships with high-net-worth individuals and corporate clients and works across financial advisory and business development.</t>
        </is>
      </c>
      <c r="L50" t="inlineStr">
        <is>
          <t>Good access to business owners/corporates and strong relationship-building orientation. However, she is a full-time Wealth Manager at Page Financials, so employer/compliance restrictions may affect paid referrals. Approach first as a networking/partnership conversation, not as an assumed commission arrangement.</t>
        </is>
      </c>
      <c r="M50" t="inlineStr">
        <is>
          <t>LinkedIn</t>
        </is>
      </c>
      <c r="N50" t="inlineStr">
        <is>
          <t>Not Contacted</t>
        </is>
      </c>
      <c r="O50" t="inlineStr">
        <is>
          <t>Medium</t>
        </is>
      </c>
      <c r="P50" t="inlineStr">
        <is>
          <t>2026-09-10</t>
        </is>
      </c>
    </row>
    <row r="51">
      <c r="A51" t="inlineStr">
        <is>
          <t>Irene Usifoh</t>
        </is>
      </c>
      <c r="B51" t="inlineStr">
        <is>
          <t>0803 133 5451</t>
        </is>
      </c>
      <c r="C51" t="inlineStr">
        <is>
          <t>Founder &amp; Business Financial Health Advisor</t>
        </is>
      </c>
      <c r="D51" t="inlineStr">
        <is>
          <t>Business Financial Health Checks; Financial Advisory; Insurance Solutions; Investment &amp; Savings Plans; Retirement Planning; Income Protection</t>
        </is>
      </c>
      <c r="E51" t="inlineStr">
        <is>
          <t>Ikeja, Lagos, Nigeria</t>
        </is>
      </c>
      <c r="F51" t="inlineStr">
        <is>
          <t>irene-businesshealthcheck.netlify.app</t>
        </is>
      </c>
      <c r="H51" t="inlineStr">
        <is>
          <t>Business Financial Health Check</t>
        </is>
      </c>
      <c r="I51" t="inlineStr">
        <is>
          <t>0803 133 5451</t>
        </is>
      </c>
      <c r="J51" t="inlineStr">
        <is>
          <t>2nd connection; 2 mutual connections</t>
        </is>
      </c>
      <c r="K51" t="inlineStr">
        <is>
          <t>Excellent referral-partner fit: she works directly with business owners and explicitly says she is open to collaborations and partnerships.</t>
        </is>
      </c>
      <c r="L51" t="inlineStr">
        <is>
          <t>HIGH priority. Independent founder with a client-facing financial advisory practice. Her financial health/cash-flow/risk work is adjacent to, but distinct from, Business Analytics &amp; Optimization, creating a natural referral boundary.</t>
        </is>
      </c>
      <c r="M51" t="inlineStr">
        <is>
          <t>LinkedIn</t>
        </is>
      </c>
      <c r="N51" t="inlineStr">
        <is>
          <t>Not Contacted</t>
        </is>
      </c>
      <c r="O51" t="inlineStr">
        <is>
          <t>High</t>
        </is>
      </c>
      <c r="P51" t="inlineStr">
        <is>
          <t>2026-09-10</t>
        </is>
      </c>
    </row>
    <row r="52">
      <c r="A52" t="inlineStr">
        <is>
          <t>Sharon Dikedi</t>
        </is>
      </c>
      <c r="B52" t="inlineStr">
        <is>
          <t>brandwithsharon@gmail.com</t>
        </is>
      </c>
      <c r="C52" t="inlineStr">
        <is>
          <t>Brand Strategist | Brand &amp; Marketing Professional | Strategic Coach &amp; Business Advisor | Corporate Learning &amp; Development</t>
        </is>
      </c>
      <c r="D52" t="inlineStr">
        <is>
          <t>Brand Strategy; Strategic Coaching &amp; Advisory; Business Strategy; Sales &amp; Business Development; Customer Experience; Leadership &amp; Professional Development; Workplace Effectiveness</t>
        </is>
      </c>
      <c r="E52" t="inlineStr">
        <is>
          <t>Lagos, Nigeria</t>
        </is>
      </c>
      <c r="J52" t="inlineStr">
        <is>
          <t>2nd connection; 3 mutual connections</t>
        </is>
      </c>
      <c r="K52" t="inlineStr">
        <is>
          <t>Strong referral-partner fit: client-facing business advisor who works with founders and businesses on strategy, decision-making, positioning and growth.</t>
        </is>
      </c>
      <c r="L52" t="inlineStr">
        <is>
          <t>HIGH priority. Her work is complementary to Business Analytics &amp; Optimization rather than directly competing with it. She is positioned close to founders and business owners and explicitly helps with decision-making and growth. Particularly useful for clients whose problems begin as strategic/brand questions but reveal deeper operational, financial, pricing, resource-allocation or performance-analysis needs.</t>
        </is>
      </c>
      <c r="M52" t="inlineStr">
        <is>
          <t>LinkedIn</t>
        </is>
      </c>
      <c r="N52" t="inlineStr">
        <is>
          <t>Not Contacted</t>
        </is>
      </c>
      <c r="O52" t="inlineStr">
        <is>
          <t>High</t>
        </is>
      </c>
      <c r="P52" t="inlineStr">
        <is>
          <t>2026-09-10</t>
        </is>
      </c>
    </row>
    <row r="53">
      <c r="A53" t="inlineStr">
        <is>
          <t>Vivian Ngozi Akperi Esq.</t>
        </is>
      </c>
      <c r="B53" t="inlineStr">
        <is>
          <t>vivianngoziakperi1@gmail.com</t>
        </is>
      </c>
      <c r="C53" t="inlineStr">
        <is>
          <t>Startup and Business Advisor | Regulatory and Tax Compliance | Corporate &amp; Technology Law Compliance | Project Management | Growth Strategy VC in Residence</t>
        </is>
      </c>
      <c r="D53" t="inlineStr">
        <is>
          <t>Startup &amp; Business Advisory; Business Registration; Regulatory Licensing; Tax Compliance; Labour Compliance; Corporate Governance; Data Protection &amp; Privacy; Intellectual Property; Project Management; Growth Strategy</t>
        </is>
      </c>
      <c r="E53" t="inlineStr">
        <is>
          <t>Port Harcourt, Rivers State, Nigeria</t>
        </is>
      </c>
      <c r="H53" t="inlineStr">
        <is>
          <t>LY Legal</t>
        </is>
      </c>
      <c r="J53" t="inlineStr">
        <is>
          <t>2nd connection; 2 mutual connections</t>
        </is>
      </c>
      <c r="K53" t="inlineStr">
        <is>
          <t>Excellent referral-partner fit: she works directly with startups and business owners and handles legal, regulatory, tax-compliance and business-advisory issues.</t>
        </is>
      </c>
      <c r="L53" t="inlineStr">
        <is>
          <t>HIGH priority. Strong complementary service boundary: Vivian can encounter founders through registration, compliance, tax, contracts and governance, while Evans can handle quantitative business analysis and optimization around pricing, profitability, inventory, operations, forecasting and resource allocation. Her explicit business-owner/startup focus makes her a strong potential referral source.</t>
        </is>
      </c>
      <c r="M53" t="inlineStr">
        <is>
          <t>LinkedIn</t>
        </is>
      </c>
      <c r="N53" t="inlineStr">
        <is>
          <t>Not Contacted</t>
        </is>
      </c>
      <c r="O53" t="inlineStr">
        <is>
          <t>High</t>
        </is>
      </c>
      <c r="P53" t="inlineStr">
        <is>
          <t>2026-09-10</t>
        </is>
      </c>
    </row>
    <row r="54">
      <c r="A54" t="inlineStr">
        <is>
          <t>Chizurum Uchechukwu</t>
        </is>
      </c>
      <c r="C54" t="inlineStr">
        <is>
          <t>Bookkeeper &amp; Financial Advisor | Helping SMEs Organize Their Finances, Improve Cash Flow &amp; Make Better Business Decisions | Excel &amp; Financial Reporting</t>
        </is>
      </c>
      <c r="D54" t="inlineStr">
        <is>
          <t>Bookkeeping; Financial Advisory; Financial Reporting; Excel; Cash Flow; SME Finance; Commercial Insurance; Small Business Insurance</t>
        </is>
      </c>
      <c r="E54" t="inlineStr">
        <is>
          <t>Federal Capital Territory, Nigeria</t>
        </is>
      </c>
      <c r="H54" t="inlineStr">
        <is>
          <t>CWIZ Holdings</t>
        </is>
      </c>
      <c r="J54" t="inlineStr">
        <is>
          <t>2nd connection; 7 mutual connections</t>
        </is>
      </c>
      <c r="K54" t="inlineStr">
        <is>
          <t>Good fit, but not strong enough for HIGH yet. His positioning is highly relevant to SMEs and he explicitly helps with cash flow and business decisions.</t>
        </is>
      </c>
      <c r="L54" t="inlineStr">
        <is>
          <t>MEDIUM priority. Very relevant service adjacency, but the profile shows Open to Work and the available evidence does not establish a substantial independent client base or advisory practice. Worth connecting and qualifying first; could move to HIGH if he demonstrates active SME clients/referral relationships.</t>
        </is>
      </c>
      <c r="M54" t="inlineStr">
        <is>
          <t>LinkedIn</t>
        </is>
      </c>
      <c r="N54" t="inlineStr">
        <is>
          <t>Not Contacted</t>
        </is>
      </c>
      <c r="O54" t="inlineStr">
        <is>
          <t>Medium</t>
        </is>
      </c>
      <c r="P54" t="inlineStr">
        <is>
          <t>2026-09-10</t>
        </is>
      </c>
    </row>
    <row r="55">
      <c r="A55" t="inlineStr">
        <is>
          <t>Christopher Akeogah</t>
        </is>
      </c>
      <c r="C55" t="inlineStr">
        <is>
          <t>Business Advisor, ChrisLink Communications</t>
        </is>
      </c>
      <c r="D55" t="inlineStr">
        <is>
          <t>Business Advisory; Marketing Communications; Business Development; Marketing</t>
        </is>
      </c>
      <c r="E55" t="inlineStr">
        <is>
          <t>Nigeria</t>
        </is>
      </c>
      <c r="H55" t="inlineStr">
        <is>
          <t>ChrisLink Communications</t>
        </is>
      </c>
      <c r="J55" t="inlineStr">
        <is>
          <t>2nd connection; 1 mutual connection</t>
        </is>
      </c>
      <c r="K55" t="inlineStr">
        <is>
          <t>Potentially useful because he is self-employed and positions himself as a Business Advisor, with a long background in marketing communications. However, the profile does not show enough evidence yet of an active SME advisory client base or referral network.</t>
        </is>
      </c>
      <c r="L55" t="inlineStr">
        <is>
          <t>MEDIUM priority. Worth connecting and qualifying, but weaker than independent accountants/CFOs/business advisers who clearly serve SME owners and have adjacent financial/operational problems.</t>
        </is>
      </c>
      <c r="M55" t="inlineStr">
        <is>
          <t>LinkedIn</t>
        </is>
      </c>
      <c r="N55" t="inlineStr">
        <is>
          <t>Not Contacted</t>
        </is>
      </c>
      <c r="O55" t="inlineStr">
        <is>
          <t>Medium</t>
        </is>
      </c>
      <c r="P55" t="inlineStr">
        <is>
          <t>2026-09-10</t>
        </is>
      </c>
    </row>
    <row r="56">
      <c r="A56" t="inlineStr">
        <is>
          <t>Emmanuel Jemegbe</t>
        </is>
      </c>
      <c r="C56" t="inlineStr">
        <is>
          <t>Business Advisory at Verraki Africa | Organisation Transformation &amp; Project Management | WEF Global Shaper</t>
        </is>
      </c>
      <c r="D56" t="inlineStr">
        <is>
          <t>Business Advisory; Strategy; Organisation Transformation; Project Management; Feasibility Assessment; Investment Due Diligence</t>
        </is>
      </c>
      <c r="E56" t="inlineStr">
        <is>
          <t>Lagos, Nigeria</t>
        </is>
      </c>
      <c r="H56" t="inlineStr">
        <is>
          <t>Verraki Africa (A Member of Andersen Consulting)</t>
        </is>
      </c>
      <c r="J56" t="inlineStr">
        <is>
          <t>2nd connection; 5 mutual connections; University of Benin alumni</t>
        </is>
      </c>
      <c r="K56" t="inlineStr">
        <is>
          <t>Very strong professional fit: works directly in business advisory and transformation, with experience across consumer goods, healthcare, financial services and manufacturing. His work includes feasibility assessment, market entry, investment due diligence and translating strategy into operational workflows. The major caveat is that he is currently employed at Verraki, so paid referral arrangements may conflict with employer policy.</t>
        </is>
      </c>
      <c r="L56" t="inlineStr">
        <is>
          <t>MEDIUM-HIGH priority for relationship building; potentially HIGH-value network contact, but do not assume he can accept commissions while employed. Best approached as a peer/referral relationship first.</t>
        </is>
      </c>
      <c r="M56" t="inlineStr">
        <is>
          <t>LinkedIn</t>
        </is>
      </c>
      <c r="N56" t="inlineStr">
        <is>
          <t>Not Contacted</t>
        </is>
      </c>
      <c r="O56" t="inlineStr">
        <is>
          <t>Medium-High</t>
        </is>
      </c>
      <c r="P56" t="inlineStr">
        <is>
          <t>2026-09-10</t>
        </is>
      </c>
    </row>
    <row r="57">
      <c r="A57" t="inlineStr">
        <is>
          <t>Phebean Aimila</t>
        </is>
      </c>
      <c r="C57" t="inlineStr">
        <is>
          <t>Business Operations Professional | Operations, Administration &amp; Project Coordination</t>
        </is>
      </c>
      <c r="D57" t="inlineStr">
        <is>
          <t>Business Operations; Operations Management; Project Coordination; Procurement; Vendor Management; Business Development; Sales</t>
        </is>
      </c>
      <c r="E57" t="inlineStr">
        <is>
          <t>Abuja, Nigeria</t>
        </is>
      </c>
      <c r="H57" t="inlineStr">
        <is>
          <t>Lekki Gardens</t>
        </is>
      </c>
      <c r="J57" t="inlineStr">
        <is>
          <t>2nd connection; 2 mutual connections</t>
        </is>
      </c>
      <c r="K57" t="inlineStr">
        <is>
          <t>Relevant operational background: 6+ years across operations, administration, project coordination and business development. Experience includes multi-site operations, procurement, vendor relationships, process improvement and business development/sales, including contribution to approximately ₦300M in property sales. Strong understanding of the operational problems that can lead to optimization engagements.</t>
        </is>
      </c>
      <c r="L57" t="inlineStr">
        <is>
          <t>MEDIUM priority. Good adjacent-domain contact, but currently employed at Lekki Gardens and the profile is oriented toward operations employment rather than an independent advisory/client-facing practice. Worth connecting for network/referral potential, but below independent consultants and SME-facing financial advisers.</t>
        </is>
      </c>
      <c r="M57" t="inlineStr">
        <is>
          <t>LinkedIn</t>
        </is>
      </c>
      <c r="N57" t="inlineStr">
        <is>
          <t>Not Contacted</t>
        </is>
      </c>
      <c r="O57" t="inlineStr">
        <is>
          <t>Medium</t>
        </is>
      </c>
      <c r="P57" t="inlineStr">
        <is>
          <t>2026-09-10</t>
        </is>
      </c>
    </row>
    <row r="58">
      <c r="A58" t="inlineStr">
        <is>
          <t>Mercy Ogbu - AgriBDSP, NBDS P, ANIPR</t>
        </is>
      </c>
      <c r="B58" t="inlineStr">
        <is>
          <t>Red Coffee Nigeria Limited</t>
        </is>
      </c>
      <c r="C58" t="inlineStr">
        <is>
          <t>Business Development &amp; Agribusiness Advisor | Communications Advisor | Cooperatives | Mentor to PWDs and Women-Led Businesses</t>
        </is>
      </c>
      <c r="D58" t="inlineStr">
        <is>
          <t>Business development; Agribusiness; Strategic communications; Institutional development; Cooperatives; Women-led businesses; PWD inclusion; Enterprise development</t>
        </is>
      </c>
      <c r="E58" t="inlineStr">
        <is>
          <t>Nigeria</t>
        </is>
      </c>
      <c r="J58" t="inlineStr">
        <is>
          <t>2nd connection; 1 mutual connection</t>
        </is>
      </c>
      <c r="K58" t="inlineStr">
        <is>
          <t>Strong referral-partner fit: she works directly with enterprises, cooperatives, women-led businesses and other emerging businesses through business development and agribusiness advisory work. Her experience spans business growth, strategic partnerships and institutional development.</t>
        </is>
      </c>
      <c r="L58" t="inlineStr">
        <is>
          <t>HIGH potential for both Zaena and Business Analytics &amp; Optimization. Her enterprise/agribusiness network can surface businesses that need better operational records, financial visibility, sales/inventory systems, profitability analysis, resource allocation and growth decisions. Qualify her client volume and willingness to participate in a formal referral arrangement.</t>
        </is>
      </c>
      <c r="M58" t="inlineStr">
        <is>
          <t>LinkedIn</t>
        </is>
      </c>
      <c r="N58" t="inlineStr">
        <is>
          <t>Not Contacted</t>
        </is>
      </c>
      <c r="O58" t="inlineStr">
        <is>
          <t>High</t>
        </is>
      </c>
      <c r="P58" t="inlineStr">
        <is>
          <t>2026-09-10</t>
        </is>
      </c>
      <c r="U58" t="inlineStr">
        <is>
          <t>Founder / Principal Consultant at Red Coffee Nigeria Limited since 2017; also has business-development/agribusiness advisory experience and work supporting enterprise-focused programmes. Good strategic fit, especially for SME/agro-business referrals.</t>
        </is>
      </c>
      <c r="V58" t="inlineStr">
        <is>
          <t>Both</t>
        </is>
      </c>
    </row>
    <row r="59">
      <c r="A59" t="inlineStr">
        <is>
          <t>Yvonne Joseph</t>
        </is>
      </c>
      <c r="B59" t="inlineStr">
        <is>
          <t>Digital Girls</t>
        </is>
      </c>
      <c r="C59" t="inlineStr">
        <is>
          <t>Digital Business &amp; Transformation Leader | Strategic Advisor | Founder</t>
        </is>
      </c>
      <c r="D59" t="inlineStr">
        <is>
          <t>Business advisory; Digital business transformation; Strategic advisory; Business growth; Technology strategy; Entrepreneurship; Digital economy</t>
        </is>
      </c>
      <c r="E59" t="inlineStr">
        <is>
          <t>Lagos, Nigeria</t>
        </is>
      </c>
      <c r="J59" t="inlineStr">
        <is>
          <t>2nd connection; 4 mutual connections; 1 mutual group</t>
        </is>
      </c>
      <c r="K59" t="inlineStr">
        <is>
          <t>Exceptional fit: she explicitly advises founders, CEOs and business leaders on growth, transformation, new opportunities, digital business models, products and technology. Her business-first advisory approach overlaps strongly with the problems that lead to analytics and optimization engagements.</t>
        </is>
      </c>
      <c r="L59" t="inlineStr">
        <is>
          <t>HIGH priority referral prospect. She has direct access to founders and business leaders, substantial audience reach (9,000+ followers), and a strong advisory network. Potential for referrals into both Business Analytics &amp; Optimization and Zaena. Approach as a peer/advisory partner rather than pitching immediately; qualify whether she refers clients to specialist providers and whether a formal referral arrangement is appropriate.</t>
        </is>
      </c>
      <c r="M59" t="inlineStr">
        <is>
          <t>LinkedIn</t>
        </is>
      </c>
      <c r="N59" t="inlineStr">
        <is>
          <t>Not Contacted</t>
        </is>
      </c>
      <c r="O59" t="inlineStr">
        <is>
          <t>High</t>
        </is>
      </c>
      <c r="P59" t="inlineStr">
        <is>
          <t>2026-09-10</t>
        </is>
      </c>
      <c r="U59" t="inlineStr">
        <is>
          <t>Founder of Digital Girls since 2021; Digital &amp; Business Transformation Advisor/Speaker since 2024; Founding Partner at Paypoint since 2026. 15+ years building businesses and advising founders, CEOs and institutions. Strong mutual-network potential.</t>
        </is>
      </c>
      <c r="V59" t="inlineStr">
        <is>
          <t>Both</t>
        </is>
      </c>
    </row>
    <row r="60">
      <c r="A60" t="inlineStr">
        <is>
          <t>Akobi M. Ogah, FCA, ACTI, MSc, MBA, MNIM</t>
        </is>
      </c>
      <c r="B60" t="inlineStr">
        <is>
          <t>Acctoutech.com.ng</t>
        </is>
      </c>
      <c r="C60" t="inlineStr">
        <is>
          <t>Finance &amp; Accounting Specialist | Audit &amp; Tax Strategist | Business &amp; Management Advisor</t>
        </is>
      </c>
      <c r="D60" t="inlineStr">
        <is>
          <t>Accounting; Audit; Tax advisory; Financial consulting; Business advisory; Budgeting &amp; forecasting; Cash-flow optimization; Profitability analysis; Corporate restructuring; Financial systems; ERP; Financial analytics</t>
        </is>
      </c>
      <c r="E60" t="inlineStr">
        <is>
          <t>Lagos, Nigeria</t>
        </is>
      </c>
      <c r="H60" t="inlineStr">
        <is>
          <t>Acctoutech.com.ng</t>
        </is>
      </c>
      <c r="I60" t="inlineStr">
        <is>
          <t>08071115222 / 08066774498</t>
        </is>
      </c>
      <c r="J60" t="inlineStr">
        <is>
          <t>2nd connection; 1 mutual connection</t>
        </is>
      </c>
      <c r="K60" t="inlineStr">
        <is>
          <t>Excellent referral-partner fit: he runs his own professional services practice serving a broad portfolio of businesses and already provides financial consulting and business advisory. His clients can naturally need specialist analytics, optimization, operations, pricing, inventory, profitability, and decision-support work.</t>
        </is>
      </c>
      <c r="L60" t="inlineStr">
        <is>
          <t>HIGH priority. Strongest kind of partner: experienced Chartered Accountant and business adviser, client-facing, entrepreneurial, and explicitly open to strategic collaboration. He also understands ERP and financial analytics, so position the relationship as complementary specialist decision/optimization capability rather than competing accounting services.</t>
        </is>
      </c>
      <c r="M60" t="inlineStr">
        <is>
          <t>LinkedIn</t>
        </is>
      </c>
      <c r="N60" t="inlineStr">
        <is>
          <t>Not Contacted</t>
        </is>
      </c>
      <c r="O60" t="inlineStr">
        <is>
          <t>High</t>
        </is>
      </c>
      <c r="P60" t="inlineStr">
        <is>
          <t>2026-09-10</t>
        </is>
      </c>
      <c r="U60" t="inlineStr">
        <is>
          <t>Over a decade of multidisciplinary finance/audit/tax/business advisory experience. Founded and grew his own professional services practice. Works with boards, executives, auditors, tax authorities, regulators and financial institutions. Provides audit, accounting, tax advisory, financial consulting and business support.</t>
        </is>
      </c>
      <c r="V60" t="inlineStr">
        <is>
          <t>Both</t>
        </is>
      </c>
    </row>
    <row r="61">
      <c r="A61" t="inlineStr">
        <is>
          <t>Onyinyechi Thompson</t>
        </is>
      </c>
      <c r="B61" t="inlineStr"/>
      <c r="C61" t="inlineStr">
        <is>
          <t>Business Strategist &amp; Architect | Founder | Strategic Thinking Partner</t>
        </is>
      </c>
      <c r="D61" t="inlineStr">
        <is>
          <t>Business Strategy, Operations, Business Architecture, Process Improvement, Strategic Planning</t>
        </is>
      </c>
      <c r="E61" t="inlineStr">
        <is>
          <t>Nigeria</t>
        </is>
      </c>
      <c r="F61" t="inlineStr"/>
      <c r="G61" t="inlineStr"/>
      <c r="H61" t="inlineStr">
        <is>
          <t>Legacy Strategy Partners / O’maan Studio</t>
        </is>
      </c>
      <c r="I61" t="inlineStr"/>
      <c r="J61" t="inlineStr"/>
      <c r="K61" t="inlineStr">
        <is>
          <t>Strong conceptual/service fit; evidence of active client network is limited.</t>
        </is>
      </c>
      <c r="L61" t="inlineStr">
        <is>
          <t>9+ years across strategy, operations and execution; works with founder-led/growing businesses and emphasizes diagnosis-first strategy, process design and decision-ready insights. However, only 83 connections and no visible client portfolio/case evidence, so referral potential is unproven.</t>
        </is>
      </c>
      <c r="M61" t="inlineStr">
        <is>
          <t>LinkedIn</t>
        </is>
      </c>
      <c r="N61" t="inlineStr">
        <is>
          <t>Not contacted</t>
        </is>
      </c>
      <c r="O61" t="inlineStr">
        <is>
          <t>Medium</t>
        </is>
      </c>
      <c r="P61" t="inlineStr">
        <is>
          <t>2026-09-10</t>
        </is>
      </c>
    </row>
  </sheetData>
  <autoFilter ref="A1:U13"/>
  <dataValidations count="4">
    <dataValidation sqref="C2:C101" showDropDown="0" showInputMessage="0" showErrorMessage="0" allowBlank="1" type="list">
      <formula1>"Accountant,Accounting Firm,CFO/Finance Consultant,ERP/POS Consultant,Business Consultant,Supply Chain/Procurement Consultant,Banker/Finance Adviser,Manufacturer,Distributor/Wholesaler,Retailer,Agribusiness,Other"</formula1>
    </dataValidation>
    <dataValidation sqref="M2:M101" showDropDown="0" showInputMessage="0" showErrorMessage="0" allowBlank="1" type="list">
      <formula1>"LinkedIn,Email,WhatsApp,Phone,Contact Form,Facebook,X,In Person,Referral,Other"</formula1>
    </dataValidation>
    <dataValidation sqref="N2:N101" showDropDown="0" showInputMessage="0" showErrorMessage="0" allowBlank="1" type="list">
      <formula1>"Research,To Contact,Contacted,Replied,Interested,Meeting,Introduction Made,Client,Not Interested,No Response,Follow Up Later,Closed"</formula1>
    </dataValidation>
    <dataValidation sqref="O2:O101"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15" customWidth="1" min="2" max="2"/>
  </cols>
  <sheetData>
    <row r="1">
      <c r="A1" s="4" t="inlineStr">
        <is>
          <t>Toledah Business Analytics &amp; Optimization — Prospect Pipeline</t>
        </is>
      </c>
    </row>
    <row r="3">
      <c r="A3" s="5" t="inlineStr">
        <is>
          <t>Metric</t>
        </is>
      </c>
      <c r="B3" s="5" t="inlineStr">
        <is>
          <t>Count</t>
        </is>
      </c>
    </row>
    <row r="4">
      <c r="A4" t="inlineStr">
        <is>
          <t>Total Prospects</t>
        </is>
      </c>
      <c r="B4">
        <f>COUNTA(Prospects!A2:A101)</f>
        <v/>
      </c>
    </row>
    <row r="5">
      <c r="A5" t="inlineStr">
        <is>
          <t>High Priority</t>
        </is>
      </c>
      <c r="B5">
        <f>COUNTIF(Prospects!O2:O101,"High")</f>
        <v/>
      </c>
    </row>
    <row r="6">
      <c r="A6" t="inlineStr">
        <is>
          <t>Contacted</t>
        </is>
      </c>
      <c r="B6">
        <f>COUNTIF(Prospects!N2:N101,"Contacted")</f>
        <v/>
      </c>
    </row>
    <row r="7">
      <c r="A7" t="inlineStr">
        <is>
          <t>Replied</t>
        </is>
      </c>
      <c r="B7">
        <f>COUNTIF(Prospects!N2:N101,"Replied")</f>
        <v/>
      </c>
    </row>
    <row r="8">
      <c r="A8" t="inlineStr">
        <is>
          <t>Interested</t>
        </is>
      </c>
      <c r="B8">
        <f>COUNTIF(Prospects!N2:N101,"Interested")</f>
        <v/>
      </c>
    </row>
    <row r="9">
      <c r="A9" t="inlineStr">
        <is>
          <t>Meetings</t>
        </is>
      </c>
      <c r="B9">
        <f>COUNTIF(Prospects!N2:N101,"Meeting")</f>
        <v/>
      </c>
    </row>
    <row r="10">
      <c r="A10" t="inlineStr">
        <is>
          <t>Introductions Made</t>
        </is>
      </c>
      <c r="B10">
        <f>COUNTIF(Prospects!N2:N101,"Introduction Made")</f>
        <v/>
      </c>
    </row>
    <row r="11">
      <c r="A11" t="inlineStr">
        <is>
          <t>Clients</t>
        </is>
      </c>
      <c r="B11">
        <f>COUNTIF(Prospects!N2:N101,"Client")</f>
        <v/>
      </c>
    </row>
    <row r="12">
      <c r="A12" t="inlineStr">
        <is>
          <t>No Response</t>
        </is>
      </c>
      <c r="B12">
        <f>COUNTIF(Prospects!N2:N101,"No Response")</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2" customWidth="1" min="1" max="1"/>
    <col width="110" customWidth="1" min="2" max="2"/>
  </cols>
  <sheetData>
    <row r="1">
      <c r="A1" s="6" t="inlineStr">
        <is>
          <t>Purpose</t>
        </is>
      </c>
      <c r="B1" s="7" t="inlineStr">
        <is>
          <t>Track referral partners and direct prospects for Toledah's Business Analytics &amp; Optimization service.</t>
        </is>
      </c>
    </row>
    <row r="2">
      <c r="A2" s="6" t="inlineStr">
        <is>
          <t>Why They Fit</t>
        </is>
      </c>
      <c r="B2" s="7" t="inlineStr">
        <is>
          <t>Explain why this person is strategically relevant and what kinds of businesses/problems they are likely to encounter.</t>
        </is>
      </c>
    </row>
    <row r="3">
      <c r="A3" s="6" t="inlineStr">
        <is>
          <t>Potential Referral Opportunity</t>
        </is>
      </c>
      <c r="B3" s="7" t="inlineStr">
        <is>
          <t>Describe the type of client or business problem they could potentially refer.</t>
        </is>
      </c>
    </row>
    <row r="4">
      <c r="A4" s="6" t="inlineStr">
        <is>
          <t>Status</t>
        </is>
      </c>
      <c r="B4" s="7" t="inlineStr">
        <is>
          <t>Use the pipeline stages to track the relationship from research through client.</t>
        </is>
      </c>
    </row>
    <row r="5">
      <c r="A5" s="6" t="inlineStr">
        <is>
          <t>Priority</t>
        </is>
      </c>
      <c r="B5" s="7" t="inlineStr">
        <is>
          <t>High = strong fit, relevant network, and a realistic path to contact.</t>
        </is>
      </c>
    </row>
    <row r="6">
      <c r="A6" s="6" t="inlineStr">
        <is>
          <t>Response</t>
        </is>
      </c>
      <c r="B6" s="7" t="inlineStr">
        <is>
          <t>Record what they actually said.</t>
        </is>
      </c>
    </row>
    <row r="7">
      <c r="A7" s="6" t="inlineStr">
        <is>
          <t>Next Action</t>
        </is>
      </c>
      <c r="B7" s="7" t="inlineStr">
        <is>
          <t>Always leave one concrete next step.</t>
        </is>
      </c>
    </row>
    <row r="8">
      <c r="A8" s="6" t="inlineStr">
        <is>
          <t>Suggested workflow</t>
        </is>
      </c>
      <c r="B8" s="7" t="inlineStr">
        <is>
          <t>Research → bring the prospect details to ChatGPT → devise approach → contact → record result → follow 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Toledah Partner Prospects — Zaena + Optimization</dc:title>
  <dcterms:created xmlns:dcterms="http://purl.org/dc/terms/" xmlns:xsi="http://www.w3.org/2001/XMLSchema-instance" xsi:type="dcterms:W3CDTF">2026-09-09T10:09:50Z</dcterms:created>
  <dcterms:modified xmlns:dcterms="http://purl.org/dc/terms/" xmlns:xsi="http://www.w3.org/2001/XMLSchema-instance" xsi:type="dcterms:W3CDTF">2026-09-10T11:11:35Z</dcterms:modified>
</cp:coreProperties>
</file>